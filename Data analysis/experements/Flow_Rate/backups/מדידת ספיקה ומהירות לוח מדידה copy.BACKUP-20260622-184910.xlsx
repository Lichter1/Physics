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1" activeTab="6" autoFilterDateGrouping="1"/>
  </bookViews>
  <sheets>
    <sheet name="הוראות" sheetId="1" state="visible" r:id="rId1"/>
    <sheet name="Setup" sheetId="2" state="visible" r:id="rId2"/>
    <sheet name="Rotameter" sheetId="3" state="visible" r:id="rId3"/>
    <sheet name="Venturi" sheetId="4" state="visible" r:id="rId4"/>
    <sheet name="Diaphragm" sheetId="5" state="visible" r:id="rId5"/>
    <sheet name="Nozzle" sheetId="6" state="visible" r:id="rId6"/>
    <sheet name="Pitot" sheetId="7" state="visible" r:id="rId7"/>
    <sheet name="Summary_QvQ" sheetId="8" state="visible" r:id="rId8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b val="1"/>
      <i val="1"/>
      <sz val="9"/>
    </font>
    <font>
      <name val="Arial"/>
      <charset val="1"/>
      <color rgb="FF1F5C2E"/>
      <sz val="9"/>
    </font>
    <font>
      <name val="Arial"/>
      <charset val="1"/>
      <i val="1"/>
      <sz val="8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D9D9D9"/>
        <bgColor rgb="FFE2EFDA"/>
      </patternFill>
    </fill>
    <fill>
      <patternFill patternType="solid">
        <fgColor theme="0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FBFBF"/>
    <outlinePr summaryBelow="1" summaryRight="1"/>
    <pageSetUpPr/>
  </sheetPr>
  <dimension ref="A1:B14"/>
  <sheetViews>
    <sheetView showGridLines="0" rightToLeft="1" zoomScaleNormal="100" workbookViewId="0">
      <selection activeCell="A1" sqref="A1:B1"/>
    </sheetView>
  </sheetViews>
  <sheetFormatPr baseColWidth="8" defaultColWidth="8.7109375" defaultRowHeight="15"/>
  <cols>
    <col width="3" customWidth="1" min="1" max="1"/>
    <col width="95" customWidth="1" min="2" max="2"/>
  </cols>
  <sheetData>
    <row r="1" ht="19.5" customHeight="1">
      <c r="A1" s="16" t="inlineStr">
        <is>
          <t>מדידת ספיקה ומהירות — הוראות שימוש בקובץ</t>
        </is>
      </c>
    </row>
    <row r="3" ht="18" customHeight="1">
      <c r="A3" s="16" t="inlineStr">
        <is>
          <t>צבעים</t>
        </is>
      </c>
    </row>
    <row r="4" ht="31.5" customHeight="1">
      <c r="A4" s="1" t="n"/>
      <c r="B4" s="2" t="inlineStr">
        <is>
          <t>תאים צהובים = קלט (מזינים נתונים בזמן הניסוי). תאים ירוקים = מחושב אוטומטית, אין לערוך.</t>
        </is>
      </c>
    </row>
    <row r="5" ht="18" customHeight="1">
      <c r="A5" s="16" t="inlineStr">
        <is>
          <t>סדר העבודה</t>
        </is>
      </c>
    </row>
    <row r="6" ht="31.5" customHeight="1">
      <c r="A6" s="1" t="inlineStr">
        <is>
          <t>1.</t>
        </is>
      </c>
      <c r="B6" s="2" t="inlineStr">
        <is>
          <t>מלאו את גיליון Setup: קבועים, קטרים (Dmax/Dmin) וספיקת מקסימום משוערת לכל מדיד.</t>
        </is>
      </c>
    </row>
    <row r="7" ht="31.5" customHeight="1">
      <c r="A7" s="1" t="inlineStr">
        <is>
          <t>2.</t>
        </is>
      </c>
      <c r="B7" s="2" t="inlineStr">
        <is>
          <t>גיליון Rotameter: רשמו את כיול הרוטמטר (10 נק' בתנאי אטמוספירה, 5 נק' בלחץ אבסולוטי משתנה).</t>
        </is>
      </c>
    </row>
    <row r="8" ht="31.5" customHeight="1">
      <c r="A8" s="1" t="inlineStr">
        <is>
          <t>3.</t>
        </is>
      </c>
      <c r="B8" s="2" t="inlineStr">
        <is>
          <t>בכל אחד מהגיליונות Venturi / Diaphragm / Nozzle: עמודה C מציגה ספיקת מטרה מחושבת (Qmax/10 × נקודה) להנחיה בזמן הניסוי — לפי Qmax שהוגדר ב-Setup. בעמודה D הזינו את הפרש הגבהים שנמדד בפועל במנומטר Δh [m], ובעמודה I את הספיקה המתאימה שנקראה מהרוטמטר [L/min]. כל שאר העמודות (ΔP, Q_ideal, שגיאות, Re, מקדם C) מחושבות אוטומטית.</t>
        </is>
      </c>
    </row>
    <row r="9" ht="31.5" customHeight="1">
      <c r="A9" s="1" t="inlineStr">
        <is>
          <t>4.</t>
        </is>
      </c>
      <c r="B9" s="2" t="inlineStr">
        <is>
          <t>גיליון Pitot: לכל נקודה הזינו Δh של מדיד הפיטו וכן את הספיקה שנקראה במקביל מהרוטמטר (עמודה K). שלוש שיטות החישוב למהירות (ברנולי, פרופיל 1/7, רוטמטר) ומספר ריינולדס מחושבים אוטומטית.</t>
        </is>
      </c>
    </row>
    <row r="10" ht="31.5" customHeight="1">
      <c r="A10" s="1" t="inlineStr">
        <is>
          <t>5.</t>
        </is>
      </c>
      <c r="B10" s="2" t="inlineStr">
        <is>
          <t>גיליון Summary_QvQ מאחד את Qideal/Qreal משלושת המדידים להכנת גרף הספיקה האמיתית כתלות באידאלית (השיפוע = מקדם C).</t>
        </is>
      </c>
    </row>
    <row r="11" ht="18" customHeight="1">
      <c r="A11" s="16" t="inlineStr">
        <is>
          <t>הערות חשובות</t>
        </is>
      </c>
    </row>
    <row r="12" ht="31.5" customHeight="1">
      <c r="A12" s="1" t="n"/>
      <c r="B12" s="2" t="inlineStr">
        <is>
          <t>מקדם השגיאה הקבוע על הפרש הגבהים (Δh_err) ושגיאת הקוטר (D_err) מוגדרים בגיליון Setup וניזונים אוטומטית לכל הנוסחאות.</t>
        </is>
      </c>
    </row>
    <row r="13" ht="31.5" customHeight="1">
      <c r="A13" s="1" t="n"/>
      <c r="B13" s="2" t="inlineStr">
        <is>
          <t>שגיאת הספיקה הנמדדת (מהרוטמטר) קבועה ומוגדרת בגיליון Setup לפי דיוק מד הספיקה המסי.</t>
        </is>
      </c>
    </row>
    <row r="14" ht="31.5" customHeight="1">
      <c r="A14" s="1" t="n"/>
      <c r="B14" s="2" t="inlineStr">
        <is>
          <t>הגרפים עצמם (כיול ספיקה, כיול מהירות, C כתלות ב-Re, Qreal=f(Qideal)) יש להפיק ב-Excel/Matlab/Python מתוך הטבלאות הירוקות — הקובץ מכין את כל הנתונים והשגיאות הדרושים לכך.</t>
        </is>
      </c>
    </row>
  </sheetData>
  <mergeCells count="4">
    <mergeCell ref="A3:B3"/>
    <mergeCell ref="A11:B11"/>
    <mergeCell ref="A1:B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H36"/>
  <sheetViews>
    <sheetView showGridLines="0" rightToLeft="1" topLeftCell="A6" zoomScaleNormal="100" workbookViewId="0">
      <selection activeCell="C24" sqref="C24"/>
    </sheetView>
  </sheetViews>
  <sheetFormatPr baseColWidth="8" defaultColWidth="8.7109375" defaultRowHeight="15"/>
  <cols>
    <col width="3" customWidth="1" min="1" max="1"/>
    <col width="28" customWidth="1" min="2" max="2"/>
    <col width="14" customWidth="1" min="3" max="3"/>
    <col width="3" customWidth="1" min="4" max="4"/>
    <col width="28" customWidth="1" min="5" max="5"/>
    <col width="14" customWidth="1" min="6" max="6"/>
    <col width="3" customWidth="1" min="7" max="7"/>
    <col width="14" customWidth="1" min="8" max="8"/>
  </cols>
  <sheetData>
    <row r="1" ht="19.5" customHeight="1">
      <c r="A1" s="16" t="inlineStr">
        <is>
          <t>מדידת ספיקה ומהירות — קבועים והגדרות (Setup)</t>
        </is>
      </c>
    </row>
    <row r="3">
      <c r="B3" s="3" t="inlineStr">
        <is>
          <t>צבע = קלט (להזין)</t>
        </is>
      </c>
    </row>
    <row r="4">
      <c r="B4" s="4" t="inlineStr">
        <is>
          <t>צבע = מחושב (לא לערוך)</t>
        </is>
      </c>
    </row>
    <row r="6" ht="18" customHeight="1">
      <c r="A6" s="16" t="inlineStr">
        <is>
          <t>קבועי סביבה / נוזלים</t>
        </is>
      </c>
    </row>
    <row r="7" ht="36" customHeight="1">
      <c r="B7" s="5" t="inlineStr">
        <is>
          <t>פרמטר</t>
        </is>
      </c>
      <c r="C7" s="5" t="inlineStr">
        <is>
          <t>ערך</t>
        </is>
      </c>
      <c r="D7" s="5" t="inlineStr">
        <is>
          <t>יחידות</t>
        </is>
      </c>
    </row>
    <row r="8" ht="36" customHeight="1">
      <c r="B8" s="6" t="inlineStr">
        <is>
          <t>צפיפות אוויר ρ_air</t>
        </is>
      </c>
      <c r="C8" s="7" t="n">
        <v>1.184</v>
      </c>
      <c r="D8" s="6" t="inlineStr">
        <is>
          <t>kg/m³</t>
        </is>
      </c>
    </row>
    <row r="9" ht="36" customHeight="1">
      <c r="B9" s="6" t="inlineStr">
        <is>
          <t>צפיפות מים ρ_water</t>
        </is>
      </c>
      <c r="C9" s="7" t="n">
        <v>1000</v>
      </c>
      <c r="D9" s="6" t="inlineStr">
        <is>
          <t>kg/m³</t>
        </is>
      </c>
    </row>
    <row r="10" ht="24" customHeight="1">
      <c r="B10" s="6" t="inlineStr">
        <is>
          <t>תאוצת הכובד g</t>
        </is>
      </c>
      <c r="C10" s="7" t="n">
        <v>9.81</v>
      </c>
      <c r="D10" s="6" t="inlineStr">
        <is>
          <t>m/s²</t>
        </is>
      </c>
    </row>
    <row r="11" ht="60" customHeight="1">
      <c r="B11" s="6" t="inlineStr">
        <is>
          <t>צמיגות דינמית אוויר μ_air</t>
        </is>
      </c>
      <c r="C11" s="7" t="n">
        <v>1.837e-05</v>
      </c>
      <c r="D11" s="6" t="inlineStr">
        <is>
          <t>kg/(m·s)</t>
        </is>
      </c>
    </row>
    <row r="12">
      <c r="B12" s="6" t="inlineStr">
        <is>
          <t>שגיאת קריאת מנומטר Δh (קבועה)</t>
        </is>
      </c>
      <c r="C12" s="7" t="n">
        <v>0.0005</v>
      </c>
      <c r="D12" s="6" t="inlineStr">
        <is>
          <t>m</t>
        </is>
      </c>
    </row>
    <row r="13">
      <c r="B13" s="6" t="inlineStr">
        <is>
          <t>שגיאת קוטר ΔD (כל הקטרים)</t>
        </is>
      </c>
      <c r="C13" s="7" t="n">
        <v>0.0001</v>
      </c>
      <c r="D13" s="6" t="inlineStr">
        <is>
          <t>m</t>
        </is>
      </c>
    </row>
    <row r="14" ht="36" customHeight="1">
      <c r="B14" s="6" t="inlineStr">
        <is>
          <t>שגיאת ספיקה נמדדת (רוטמטר) ΔQ_real  (לא בשימוש — ראה מפרט LDN למטה)</t>
        </is>
      </c>
      <c r="C14" s="7" t="n">
        <v>0.5</v>
      </c>
      <c r="D14" s="6" t="inlineStr">
        <is>
          <t>L/min</t>
        </is>
      </c>
    </row>
    <row r="15" ht="24" customHeight="1">
      <c r="B15" s="6" t="inlineStr">
        <is>
          <t>שגיאת קריאת לחץ גיי׳גי [bar]</t>
        </is>
      </c>
      <c r="C15" s="7" t="n">
        <v>0.01</v>
      </c>
      <c r="D15" s="6" t="inlineStr">
        <is>
          <t>Bar</t>
        </is>
      </c>
    </row>
    <row r="16" ht="18" customHeight="1">
      <c r="A16" s="16" t="inlineStr">
        <is>
          <t>קטרים — לכל מדיד (D_max משותף לכולם, D_min שונה)</t>
        </is>
      </c>
    </row>
    <row r="17" ht="96" customHeight="1">
      <c r="B17" s="5" t="inlineStr">
        <is>
          <t>מדיד</t>
        </is>
      </c>
      <c r="C17" s="5" t="inlineStr">
        <is>
          <t>D_max [mm]</t>
        </is>
      </c>
      <c r="D17" s="5" t="inlineStr">
        <is>
          <t>D_min [mm]</t>
        </is>
      </c>
    </row>
    <row r="18">
      <c r="B18" s="6" t="inlineStr">
        <is>
          <t>צינור ונטורי (Venturi)</t>
        </is>
      </c>
      <c r="C18" s="7" t="n">
        <v>12</v>
      </c>
      <c r="D18" s="7" t="n">
        <v>6</v>
      </c>
    </row>
    <row r="19">
      <c r="B19" s="6" t="inlineStr">
        <is>
          <t>דיאפרגמה (Diaphragm)</t>
        </is>
      </c>
      <c r="C19" s="7" t="n">
        <v>12</v>
      </c>
      <c r="D19" s="7" t="n">
        <v>6</v>
      </c>
    </row>
    <row r="20">
      <c r="B20" s="6" t="inlineStr">
        <is>
          <t>נחיר (Nozzle)</t>
        </is>
      </c>
      <c r="C20" s="7" t="n">
        <v>12</v>
      </c>
      <c r="D20" s="7" t="n">
        <v>6</v>
      </c>
    </row>
    <row r="21">
      <c r="B21" s="6" t="inlineStr">
        <is>
          <t>פיטו (Pitot) — D_max=קוטר צינור</t>
        </is>
      </c>
      <c r="C21" s="7" t="n">
        <v>12</v>
      </c>
      <c r="D21" s="7" t="n">
        <v>3</v>
      </c>
    </row>
    <row r="23" ht="18" customHeight="1">
      <c r="A23" s="16" t="inlineStr">
        <is>
          <t>ספיקה מקסימלית לכל מדיד (לקביעת 10 צעדי מדידה שווים)</t>
        </is>
      </c>
    </row>
    <row r="24">
      <c r="B24" s="5" t="inlineStr">
        <is>
          <t>מדיד</t>
        </is>
      </c>
      <c r="C24" s="5" t="inlineStr">
        <is>
          <t>Q_max [L/min]</t>
        </is>
      </c>
    </row>
    <row r="25">
      <c r="B25" s="6" t="inlineStr">
        <is>
          <t>צינור ונטורי</t>
        </is>
      </c>
      <c r="C25" s="7" t="n">
        <v>140</v>
      </c>
    </row>
    <row r="26">
      <c r="B26" s="6" t="inlineStr">
        <is>
          <t>דיאפרגמה</t>
        </is>
      </c>
      <c r="C26" s="7" t="n">
        <v>105</v>
      </c>
    </row>
    <row r="27">
      <c r="B27" s="6" t="inlineStr">
        <is>
          <t>נחיר</t>
        </is>
      </c>
      <c r="C27" s="7" t="n">
        <v>150</v>
      </c>
    </row>
    <row r="28">
      <c r="B28" s="6" t="inlineStr">
        <is>
          <t>פיטו</t>
        </is>
      </c>
      <c r="C28" s="7" t="n">
        <v>220</v>
      </c>
    </row>
    <row r="30" ht="27.75" customHeight="1">
      <c r="B30" s="17" t="inlineStr">
        <is>
          <t>הערה: שינוי ערך כאן יתעדכן אוטומטית בכל גיליונות המדידים והגרפים.</t>
        </is>
      </c>
    </row>
    <row r="32">
      <c r="B32" s="6" t="inlineStr">
        <is>
          <t>מפרט מד הספיקה LDN 1009 GAPL (שגיאת ספיקה אמיתית ΔQ_real)</t>
        </is>
      </c>
    </row>
    <row r="33">
      <c r="B33" s="6" t="inlineStr">
        <is>
          <t>שגיאה מהקריאה (חלק מהערך הנמדד)</t>
        </is>
      </c>
      <c r="C33" s="7" t="n">
        <v>0.04</v>
      </c>
      <c r="D33" s="6" t="inlineStr">
        <is>
          <t>-</t>
        </is>
      </c>
    </row>
    <row r="34">
      <c r="B34" s="6" t="inlineStr">
        <is>
          <t>שגיאה מערך קצה הטווח (חלק מ-FS)</t>
        </is>
      </c>
      <c r="C34" s="7" t="n">
        <v>0.005</v>
      </c>
      <c r="D34" s="6" t="inlineStr">
        <is>
          <t>-</t>
        </is>
      </c>
    </row>
    <row r="35">
      <c r="B35" s="6" t="inlineStr">
        <is>
          <t>ערך קצה הטווח FS</t>
        </is>
      </c>
      <c r="C35" s="7" t="n">
        <v>250</v>
      </c>
      <c r="D35" s="6" t="inlineStr">
        <is>
          <t>L/min</t>
        </is>
      </c>
    </row>
    <row r="36">
      <c r="B36" s="6" t="inlineStr">
        <is>
          <t>שגיאת חזרתיות (חלק)</t>
        </is>
      </c>
      <c r="C36" s="7" t="n">
        <v>0.02</v>
      </c>
      <c r="D36" s="6" t="inlineStr">
        <is>
          <t>-</t>
        </is>
      </c>
    </row>
  </sheetData>
  <mergeCells count="5">
    <mergeCell ref="B30:F30"/>
    <mergeCell ref="A23:C23"/>
    <mergeCell ref="A6:C6"/>
    <mergeCell ref="A1:H1"/>
    <mergeCell ref="A16:C1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L23"/>
  <sheetViews>
    <sheetView showGridLines="0" rightToLeft="1" zoomScaleNormal="100" workbookViewId="0">
      <selection activeCell="K3" sqref="K3"/>
    </sheetView>
  </sheetViews>
  <sheetFormatPr baseColWidth="8" defaultColWidth="8.7109375" defaultRowHeight="15"/>
  <cols>
    <col width="3" customWidth="1" min="1" max="1"/>
    <col width="22.140625" customWidth="1" min="2" max="2"/>
    <col width="16" customWidth="1" min="3" max="3"/>
    <col width="18" customWidth="1" min="4" max="4"/>
    <col width="19" bestFit="1" customWidth="1" min="5" max="5"/>
    <col width="4.28515625" bestFit="1" customWidth="1" min="6" max="6"/>
    <col width="5.28515625" bestFit="1" customWidth="1" min="7" max="7"/>
  </cols>
  <sheetData>
    <row r="1" ht="18" customHeight="1">
      <c r="A1" s="16" t="inlineStr">
        <is>
          <t>כיול רוטמטר (3.5.1) — תנאי לחץ אטמוספיריים</t>
        </is>
      </c>
    </row>
    <row r="3" ht="24" customHeight="1">
      <c r="B3" s="5" t="inlineStr">
        <is>
          <t>נק' עבודה</t>
        </is>
      </c>
      <c r="C3" s="5" t="inlineStr">
        <is>
          <t>קריאת רוטמטר [%/מאפס]</t>
        </is>
      </c>
      <c r="D3" s="5" t="inlineStr">
        <is>
          <t>ספיקה ממד הספיקה המסי [L/min]</t>
        </is>
      </c>
      <c r="E3" s="5" t="inlineStr">
        <is>
          <t>קריאת רוטמטר [cm]</t>
        </is>
      </c>
    </row>
    <row r="4">
      <c r="B4" s="6" t="n">
        <v>1</v>
      </c>
      <c r="C4" s="7" t="n">
        <v>10</v>
      </c>
      <c r="D4" s="7" t="n">
        <v>25</v>
      </c>
      <c r="E4" s="12" t="n">
        <v>1.3</v>
      </c>
      <c r="J4" s="14" t="n">
        <v>1</v>
      </c>
      <c r="K4" s="14" t="n">
        <v>1.3</v>
      </c>
      <c r="L4" s="14" t="n">
        <v>25</v>
      </c>
    </row>
    <row r="5">
      <c r="B5" s="6" t="n">
        <v>2</v>
      </c>
      <c r="C5" s="7" t="n">
        <v>20</v>
      </c>
      <c r="D5" s="7" t="n">
        <v>41</v>
      </c>
      <c r="E5" s="12" t="n">
        <v>2.6</v>
      </c>
      <c r="J5" s="13" t="n">
        <v>2</v>
      </c>
      <c r="K5" s="13" t="n">
        <v>2.6</v>
      </c>
      <c r="L5" s="13" t="n">
        <v>41</v>
      </c>
    </row>
    <row r="6">
      <c r="B6" s="6" t="n">
        <v>3</v>
      </c>
      <c r="C6" s="7" t="n">
        <v>30</v>
      </c>
      <c r="D6" s="7" t="n">
        <v>55</v>
      </c>
      <c r="E6" s="12" t="n">
        <v>3.9</v>
      </c>
      <c r="J6" s="13" t="n">
        <v>3</v>
      </c>
      <c r="K6" s="13" t="n">
        <v>3.9</v>
      </c>
      <c r="L6" s="13" t="n">
        <v>55</v>
      </c>
    </row>
    <row r="7">
      <c r="B7" s="6" t="n">
        <v>4</v>
      </c>
      <c r="C7" s="7" t="n">
        <v>40</v>
      </c>
      <c r="D7" s="7" t="n">
        <v>72.5</v>
      </c>
      <c r="E7" s="12" t="n">
        <v>5.2</v>
      </c>
      <c r="J7" s="13" t="n">
        <v>4</v>
      </c>
      <c r="K7" s="13" t="n">
        <v>5.2</v>
      </c>
      <c r="L7" s="13" t="n">
        <v>72.5</v>
      </c>
    </row>
    <row r="8">
      <c r="B8" s="6" t="n">
        <v>5</v>
      </c>
      <c r="C8" s="7" t="n">
        <v>50</v>
      </c>
      <c r="D8" s="7" t="n">
        <v>90.5</v>
      </c>
      <c r="E8" s="12" t="n">
        <v>6.5</v>
      </c>
      <c r="J8" s="13" t="n">
        <v>5</v>
      </c>
      <c r="K8" s="13" t="n">
        <v>6.5</v>
      </c>
      <c r="L8" s="13" t="n">
        <v>90.5</v>
      </c>
    </row>
    <row r="9">
      <c r="B9" s="6" t="n">
        <v>6</v>
      </c>
      <c r="C9" s="7" t="n">
        <v>60</v>
      </c>
      <c r="D9" s="7" t="n">
        <v>109.5</v>
      </c>
      <c r="E9" s="12" t="n">
        <v>7.8</v>
      </c>
      <c r="J9" s="13" t="n">
        <v>6</v>
      </c>
      <c r="K9" s="13" t="n">
        <v>7.8</v>
      </c>
      <c r="L9" s="13" t="n">
        <v>109.5</v>
      </c>
    </row>
    <row r="10">
      <c r="B10" s="6" t="n">
        <v>7</v>
      </c>
      <c r="C10" s="7" t="n">
        <v>70</v>
      </c>
      <c r="D10" s="7" t="n">
        <v>127.5</v>
      </c>
      <c r="E10" s="12" t="n">
        <v>9.1</v>
      </c>
      <c r="J10" s="13" t="n">
        <v>7</v>
      </c>
      <c r="K10" s="13" t="n">
        <v>9.1</v>
      </c>
      <c r="L10" s="13" t="n">
        <v>127.5</v>
      </c>
    </row>
    <row r="11">
      <c r="B11" s="6" t="n">
        <v>8</v>
      </c>
      <c r="C11" s="7" t="n">
        <v>80</v>
      </c>
      <c r="D11" s="7" t="n">
        <v>147</v>
      </c>
      <c r="E11" s="12" t="n">
        <v>10.4</v>
      </c>
      <c r="J11" s="13" t="n">
        <v>8</v>
      </c>
      <c r="K11" s="13" t="n">
        <v>10.4</v>
      </c>
      <c r="L11" s="13" t="n">
        <v>147</v>
      </c>
    </row>
    <row r="12">
      <c r="B12" s="6" t="n">
        <v>9</v>
      </c>
      <c r="C12" s="7" t="n">
        <v>90</v>
      </c>
      <c r="D12" s="7" t="n">
        <v>165</v>
      </c>
      <c r="E12" s="12" t="n">
        <v>11.7</v>
      </c>
      <c r="J12" s="13" t="n">
        <v>9</v>
      </c>
      <c r="K12" s="13" t="n">
        <v>11.7</v>
      </c>
      <c r="L12" s="13" t="n">
        <v>165</v>
      </c>
    </row>
    <row r="13">
      <c r="B13" s="6" t="n">
        <v>10</v>
      </c>
      <c r="C13" s="7" t="n">
        <v>100</v>
      </c>
      <c r="D13" s="7" t="n">
        <v>193.5</v>
      </c>
      <c r="E13" s="12" t="n">
        <v>13</v>
      </c>
      <c r="J13" s="15" t="n">
        <v>10</v>
      </c>
      <c r="K13" s="15" t="n">
        <v>13</v>
      </c>
      <c r="L13" s="15" t="n">
        <v>193.5</v>
      </c>
    </row>
    <row r="15" ht="18" customHeight="1">
      <c r="A15" s="16" t="inlineStr">
        <is>
          <t>כיול רוטמטר (3.5.2) — ספיקה קבועה, לחץ אבסולוטי משתנה (1–2.5 bar_a), עד 70 L/min</t>
        </is>
      </c>
    </row>
    <row r="16" ht="24" customHeight="1">
      <c r="B16" s="5" t="inlineStr">
        <is>
          <t>נק' עבודה</t>
        </is>
      </c>
      <c r="C16" s="5" t="inlineStr">
        <is>
          <t>לחץ  גייג׳י P0 [bar_a]</t>
        </is>
      </c>
      <c r="D16" s="5" t="inlineStr">
        <is>
          <t>קריאת רוטמטר [cm]</t>
        </is>
      </c>
      <c r="E16" s="5" t="inlineStr">
        <is>
          <t>ספיקה קבועה ממד הספיקה המסי [L/min]</t>
        </is>
      </c>
    </row>
    <row r="17">
      <c r="B17" s="6" t="n">
        <v>1</v>
      </c>
      <c r="C17" s="7" t="n">
        <v>0.3</v>
      </c>
      <c r="D17" s="7" t="n">
        <v>3.3</v>
      </c>
      <c r="E17" s="7" t="n">
        <v>55</v>
      </c>
    </row>
    <row r="18">
      <c r="B18" s="6" t="n">
        <v>2</v>
      </c>
      <c r="C18" s="7" t="n">
        <v>0.6</v>
      </c>
      <c r="D18" s="7" t="n">
        <v>2.8</v>
      </c>
      <c r="E18" s="7" t="n">
        <v>55</v>
      </c>
    </row>
    <row r="19">
      <c r="B19" s="6" t="n">
        <v>3</v>
      </c>
      <c r="C19" s="7" t="n">
        <v>0.9</v>
      </c>
      <c r="D19" s="7" t="n">
        <v>2.4</v>
      </c>
      <c r="E19" s="7" t="n">
        <v>55</v>
      </c>
    </row>
    <row r="20">
      <c r="B20" s="6" t="n">
        <v>4</v>
      </c>
      <c r="C20" s="7" t="n">
        <v>1.2</v>
      </c>
      <c r="D20" s="7" t="n">
        <v>2.1</v>
      </c>
      <c r="E20" s="7" t="n">
        <v>55</v>
      </c>
    </row>
    <row r="21">
      <c r="B21" s="6" t="n">
        <v>5</v>
      </c>
      <c r="C21" s="7" t="n">
        <v>1.5</v>
      </c>
      <c r="D21" s="7" t="n">
        <v>1.9</v>
      </c>
      <c r="E21" s="7" t="n">
        <v>55</v>
      </c>
    </row>
    <row r="23" ht="30" customHeight="1">
      <c r="B23" s="17" t="inlineStr">
        <is>
          <t>הערה: הגרף לחלק 3.5.2 (ספיקת רוטמטר מנורמלת מול √(P0/Pi)) והשיפוע מבוצעים בגיליון Charts, על בסיס משוואת הכיול מ-3.5.1.</t>
        </is>
      </c>
    </row>
  </sheetData>
  <mergeCells count="3">
    <mergeCell ref="A15:E15"/>
    <mergeCell ref="A1:E1"/>
    <mergeCell ref="B23:F2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topLeftCell="A3" zoomScaleNormal="100" workbookViewId="0">
      <selection activeCell="I3" sqref="I3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צינור ונטורי (Venturi)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(1/10)*Setup!$C$25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IF($D4="","",(PI()*(Setup!$D$18/1000)^2/4)/SQRT(1-(((Setup!$D$18/1000)^2)/((Setup!$C$18/1000)^2))^2)*SQRT(2*$E4/Setup!$C$8)*60000)</f>
        <v/>
      </c>
      <c r="H4" s="9">
        <f>Q4</f>
        <v/>
      </c>
      <c r="I4" s="7" t="n">
        <v>14</v>
      </c>
      <c r="J4" s="8">
        <f>IF($I4="","",SQRT((Setup!$C$33*$I4)^2+(Setup!$C$34*Setup!$C$35)^2+(Setup!$C$36*$I4)^2))</f>
        <v/>
      </c>
      <c r="K4" s="11">
        <f>IF($D4="","",(Setup!$C$18/1000)*SQRT(2*Setup!$C$8*$E4)/Setup!$C$11)</f>
        <v/>
      </c>
      <c r="L4" s="11">
        <f>IF($D4="","",SQRT(((Setup!$C$18/1000)/Setup!$C$11*SQRT(2*Setup!$C$8)*(0.5/SQRT($E4))*$F4)^2+(SQRT(2*Setup!$C$8*$E4)/Setup!$C$11*Setup!$C$13)^2))</f>
        <v/>
      </c>
      <c r="O4" s="9">
        <f>IF($D4="","",30000*SQRT(2)*PI()*(Setup!$C$18/1000)^6*(Setup!$D$18/1000)*SQRT($E4)/(SQRT(Setup!$C$8)*((Setup!$C$18/1000)^4-(Setup!$D$18/1000)^4)^1.5))</f>
        <v/>
      </c>
      <c r="P4" s="9">
        <f>IF($D4="","",7500*SQRT(2)*PI()*(Setup!$C$18/1000)^2*(Setup!$D$18/1000)^2/(SQRT($E4)*SQRT(Setup!$C$8)*SQRT((Setup!$C$18/1000)^4-(Setup!$D$18/1000)^4)))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(2/10)*Setup!$C$25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IF($D5="","",(PI()*(Setup!$D$18/1000)^2/4)/SQRT(1-(((Setup!$D$18/1000)^2)/((Setup!$C$18/1000)^2))^2)*SQRT(2*$E5/Setup!$C$8)*60000)</f>
        <v/>
      </c>
      <c r="H5" s="9">
        <f>Q5</f>
        <v/>
      </c>
      <c r="I5" s="7" t="n">
        <v>28</v>
      </c>
      <c r="J5" s="8">
        <f>IF($I5="","",SQRT((Setup!$C$33*$I5)^2+(Setup!$C$34*Setup!$C$35)^2+(Setup!$C$36*$I5)^2))</f>
        <v/>
      </c>
      <c r="K5" s="11">
        <f>IF($D5="","",(Setup!$C$18/1000)*SQRT(2*Setup!$C$8*$E5)/Setup!$C$11)</f>
        <v/>
      </c>
      <c r="L5" s="11">
        <f>IF($D5="","",SQRT(((Setup!$C$18/1000)/Setup!$C$11*SQRT(2*Setup!$C$8)*(0.5/SQRT($E5))*$F5)^2+(SQRT(2*Setup!$C$8*$E5)/Setup!$C$11*Setup!$C$13)^2))</f>
        <v/>
      </c>
      <c r="O5" s="9">
        <f>IF($D5="","",30000*SQRT(2)*PI()*(Setup!$C$18/1000)^6*(Setup!$D$18/1000)*SQRT($E5)/(SQRT(Setup!$C$8)*((Setup!$C$18/1000)^4-(Setup!$D$18/1000)^4)^1.5))</f>
        <v/>
      </c>
      <c r="P5" s="9">
        <f>IF($D5="","",7500*SQRT(2)*PI()*(Setup!$C$18/1000)^2*(Setup!$D$18/1000)^2/(SQRT($E5)*SQRT(Setup!$C$8)*SQRT((Setup!$C$18/1000)^4-(Setup!$D$18/1000)^4)))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(3/10)*Setup!$C$25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IF($D6="","",(PI()*(Setup!$D$18/1000)^2/4)/SQRT(1-(((Setup!$D$18/1000)^2)/((Setup!$C$18/1000)^2))^2)*SQRT(2*$E6/Setup!$C$8)*60000)</f>
        <v/>
      </c>
      <c r="H6" s="9">
        <f>Q6</f>
        <v/>
      </c>
      <c r="I6" s="7" t="n">
        <v>42</v>
      </c>
      <c r="J6" s="8">
        <f>IF($I6="","",SQRT((Setup!$C$33*$I6)^2+(Setup!$C$34*Setup!$C$35)^2+(Setup!$C$36*$I6)^2))</f>
        <v/>
      </c>
      <c r="K6" s="11">
        <f>IF($D6="","",(Setup!$C$18/1000)*SQRT(2*Setup!$C$8*$E6)/Setup!$C$11)</f>
        <v/>
      </c>
      <c r="L6" s="11">
        <f>IF($D6="","",SQRT(((Setup!$C$18/1000)/Setup!$C$11*SQRT(2*Setup!$C$8)*(0.5/SQRT($E6))*$F6)^2+(SQRT(2*Setup!$C$8*$E6)/Setup!$C$11*Setup!$C$13)^2))</f>
        <v/>
      </c>
      <c r="O6" s="9">
        <f>IF($D6="","",30000*SQRT(2)*PI()*(Setup!$C$18/1000)^6*(Setup!$D$18/1000)*SQRT($E6)/(SQRT(Setup!$C$8)*((Setup!$C$18/1000)^4-(Setup!$D$18/1000)^4)^1.5))</f>
        <v/>
      </c>
      <c r="P6" s="9">
        <f>IF($D6="","",7500*SQRT(2)*PI()*(Setup!$C$18/1000)^2*(Setup!$D$18/1000)^2/(SQRT($E6)*SQRT(Setup!$C$8)*SQRT((Setup!$C$18/1000)^4-(Setup!$D$18/1000)^4)))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(4/10)*Setup!$C$25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IF($D7="","",(PI()*(Setup!$D$18/1000)^2/4)/SQRT(1-(((Setup!$D$18/1000)^2)/((Setup!$C$18/1000)^2))^2)*SQRT(2*$E7/Setup!$C$8)*60000)</f>
        <v/>
      </c>
      <c r="H7" s="9">
        <f>Q7</f>
        <v/>
      </c>
      <c r="I7" s="7" t="n">
        <v>56</v>
      </c>
      <c r="J7" s="8">
        <f>IF($I7="","",SQRT((Setup!$C$33*$I7)^2+(Setup!$C$34*Setup!$C$35)^2+(Setup!$C$36*$I7)^2))</f>
        <v/>
      </c>
      <c r="K7" s="11">
        <f>IF($D7="","",(Setup!$C$18/1000)*SQRT(2*Setup!$C$8*$E7)/Setup!$C$11)</f>
        <v/>
      </c>
      <c r="L7" s="11">
        <f>IF($D7="","",SQRT(((Setup!$C$18/1000)/Setup!$C$11*SQRT(2*Setup!$C$8)*(0.5/SQRT($E7))*$F7)^2+(SQRT(2*Setup!$C$8*$E7)/Setup!$C$11*Setup!$C$13)^2))</f>
        <v/>
      </c>
      <c r="O7" s="9">
        <f>IF($D7="","",30000*SQRT(2)*PI()*(Setup!$C$18/1000)^6*(Setup!$D$18/1000)*SQRT($E7)/(SQRT(Setup!$C$8)*((Setup!$C$18/1000)^4-(Setup!$D$18/1000)^4)^1.5))</f>
        <v/>
      </c>
      <c r="P7" s="9">
        <f>IF($D7="","",7500*SQRT(2)*PI()*(Setup!$C$18/1000)^2*(Setup!$D$18/1000)^2/(SQRT($E7)*SQRT(Setup!$C$8)*SQRT((Setup!$C$18/1000)^4-(Setup!$D$18/1000)^4)))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(5/10)*Setup!$C$25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IF($D8="","",(PI()*(Setup!$D$18/1000)^2/4)/SQRT(1-(((Setup!$D$18/1000)^2)/((Setup!$C$18/1000)^2))^2)*SQRT(2*$E8/Setup!$C$8)*60000)</f>
        <v/>
      </c>
      <c r="H8" s="9">
        <f>Q8</f>
        <v/>
      </c>
      <c r="I8" s="7" t="n">
        <v>70</v>
      </c>
      <c r="J8" s="8">
        <f>IF($I8="","",SQRT((Setup!$C$33*$I8)^2+(Setup!$C$34*Setup!$C$35)^2+(Setup!$C$36*$I8)^2))</f>
        <v/>
      </c>
      <c r="K8" s="11">
        <f>IF($D8="","",(Setup!$C$18/1000)*SQRT(2*Setup!$C$8*$E8)/Setup!$C$11)</f>
        <v/>
      </c>
      <c r="L8" s="11">
        <f>IF($D8="","",SQRT(((Setup!$C$18/1000)/Setup!$C$11*SQRT(2*Setup!$C$8)*(0.5/SQRT($E8))*$F8)^2+(SQRT(2*Setup!$C$8*$E8)/Setup!$C$11*Setup!$C$13)^2))</f>
        <v/>
      </c>
      <c r="O8" s="9">
        <f>IF($D8="","",30000*SQRT(2)*PI()*(Setup!$C$18/1000)^6*(Setup!$D$18/1000)*SQRT($E8)/(SQRT(Setup!$C$8)*((Setup!$C$18/1000)^4-(Setup!$D$18/1000)^4)^1.5))</f>
        <v/>
      </c>
      <c r="P8" s="9">
        <f>IF($D8="","",7500*SQRT(2)*PI()*(Setup!$C$18/1000)^2*(Setup!$D$18/1000)^2/(SQRT($E8)*SQRT(Setup!$C$8)*SQRT((Setup!$C$18/1000)^4-(Setup!$D$18/1000)^4)))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(6/10)*Setup!$C$25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IF($D9="","",(PI()*(Setup!$D$18/1000)^2/4)/SQRT(1-(((Setup!$D$18/1000)^2)/((Setup!$C$18/1000)^2))^2)*SQRT(2*$E9/Setup!$C$8)*60000)</f>
        <v/>
      </c>
      <c r="H9" s="9">
        <f>Q9</f>
        <v/>
      </c>
      <c r="I9" s="7" t="n">
        <v>84</v>
      </c>
      <c r="J9" s="8">
        <f>IF($I9="","",SQRT((Setup!$C$33*$I9)^2+(Setup!$C$34*Setup!$C$35)^2+(Setup!$C$36*$I9)^2))</f>
        <v/>
      </c>
      <c r="K9" s="11">
        <f>IF($D9="","",(Setup!$C$18/1000)*SQRT(2*Setup!$C$8*$E9)/Setup!$C$11)</f>
        <v/>
      </c>
      <c r="L9" s="11">
        <f>IF($D9="","",SQRT(((Setup!$C$18/1000)/Setup!$C$11*SQRT(2*Setup!$C$8)*(0.5/SQRT($E9))*$F9)^2+(SQRT(2*Setup!$C$8*$E9)/Setup!$C$11*Setup!$C$13)^2))</f>
        <v/>
      </c>
      <c r="O9" s="9">
        <f>IF($D9="","",30000*SQRT(2)*PI()*(Setup!$C$18/1000)^6*(Setup!$D$18/1000)*SQRT($E9)/(SQRT(Setup!$C$8)*((Setup!$C$18/1000)^4-(Setup!$D$18/1000)^4)^1.5))</f>
        <v/>
      </c>
      <c r="P9" s="9">
        <f>IF($D9="","",7500*SQRT(2)*PI()*(Setup!$C$18/1000)^2*(Setup!$D$18/1000)^2/(SQRT($E9)*SQRT(Setup!$C$8)*SQRT((Setup!$C$18/1000)^4-(Setup!$D$18/1000)^4)))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(7/10)*Setup!$C$25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IF($D10="","",(PI()*(Setup!$D$18/1000)^2/4)/SQRT(1-(((Setup!$D$18/1000)^2)/((Setup!$C$18/1000)^2))^2)*SQRT(2*$E10/Setup!$C$8)*60000)</f>
        <v/>
      </c>
      <c r="H10" s="9">
        <f>Q10</f>
        <v/>
      </c>
      <c r="I10" s="7" t="n">
        <v>98</v>
      </c>
      <c r="J10" s="8">
        <f>IF($I10="","",SQRT((Setup!$C$33*$I10)^2+(Setup!$C$34*Setup!$C$35)^2+(Setup!$C$36*$I10)^2))</f>
        <v/>
      </c>
      <c r="K10" s="11">
        <f>IF($D10="","",(Setup!$C$18/1000)*SQRT(2*Setup!$C$8*$E10)/Setup!$C$11)</f>
        <v/>
      </c>
      <c r="L10" s="11">
        <f>IF($D10="","",SQRT(((Setup!$C$18/1000)/Setup!$C$11*SQRT(2*Setup!$C$8)*(0.5/SQRT($E10))*$F10)^2+(SQRT(2*Setup!$C$8*$E10)/Setup!$C$11*Setup!$C$13)^2))</f>
        <v/>
      </c>
      <c r="O10" s="9">
        <f>IF($D10="","",30000*SQRT(2)*PI()*(Setup!$C$18/1000)^6*(Setup!$D$18/1000)*SQRT($E10)/(SQRT(Setup!$C$8)*((Setup!$C$18/1000)^4-(Setup!$D$18/1000)^4)^1.5))</f>
        <v/>
      </c>
      <c r="P10" s="9">
        <f>IF($D10="","",7500*SQRT(2)*PI()*(Setup!$C$18/1000)^2*(Setup!$D$18/1000)^2/(SQRT($E10)*SQRT(Setup!$C$8)*SQRT((Setup!$C$18/1000)^4-(Setup!$D$18/1000)^4)))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(8/10)*Setup!$C$25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IF($D11="","",(PI()*(Setup!$D$18/1000)^2/4)/SQRT(1-(((Setup!$D$18/1000)^2)/((Setup!$C$18/1000)^2))^2)*SQRT(2*$E11/Setup!$C$8)*60000)</f>
        <v/>
      </c>
      <c r="H11" s="9">
        <f>Q11</f>
        <v/>
      </c>
      <c r="I11" s="7" t="n">
        <v>112</v>
      </c>
      <c r="J11" s="8">
        <f>IF($I11="","",SQRT((Setup!$C$33*$I11)^2+(Setup!$C$34*Setup!$C$35)^2+(Setup!$C$36*$I11)^2))</f>
        <v/>
      </c>
      <c r="K11" s="11">
        <f>IF($D11="","",(Setup!$C$18/1000)*SQRT(2*Setup!$C$8*$E11)/Setup!$C$11)</f>
        <v/>
      </c>
      <c r="L11" s="11">
        <f>IF($D11="","",SQRT(((Setup!$C$18/1000)/Setup!$C$11*SQRT(2*Setup!$C$8)*(0.5/SQRT($E11))*$F11)^2+(SQRT(2*Setup!$C$8*$E11)/Setup!$C$11*Setup!$C$13)^2))</f>
        <v/>
      </c>
      <c r="O11" s="9">
        <f>IF($D11="","",30000*SQRT(2)*PI()*(Setup!$C$18/1000)^6*(Setup!$D$18/1000)*SQRT($E11)/(SQRT(Setup!$C$8)*((Setup!$C$18/1000)^4-(Setup!$D$18/1000)^4)^1.5))</f>
        <v/>
      </c>
      <c r="P11" s="9">
        <f>IF($D11="","",7500*SQRT(2)*PI()*(Setup!$C$18/1000)^2*(Setup!$D$18/1000)^2/(SQRT($E11)*SQRT(Setup!$C$8)*SQRT((Setup!$C$18/1000)^4-(Setup!$D$18/1000)^4)))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(9/10)*Setup!$C$25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IF($D12="","",(PI()*(Setup!$D$18/1000)^2/4)/SQRT(1-(((Setup!$D$18/1000)^2)/((Setup!$C$18/1000)^2))^2)*SQRT(2*$E12/Setup!$C$8)*60000)</f>
        <v/>
      </c>
      <c r="H12" s="9">
        <f>Q12</f>
        <v/>
      </c>
      <c r="I12" s="7" t="n">
        <v>126</v>
      </c>
      <c r="J12" s="8">
        <f>IF($I12="","",SQRT((Setup!$C$33*$I12)^2+(Setup!$C$34*Setup!$C$35)^2+(Setup!$C$36*$I12)^2))</f>
        <v/>
      </c>
      <c r="K12" s="11">
        <f>IF($D12="","",(Setup!$C$18/1000)*SQRT(2*Setup!$C$8*$E12)/Setup!$C$11)</f>
        <v/>
      </c>
      <c r="L12" s="11">
        <f>IF($D12="","",SQRT(((Setup!$C$18/1000)/Setup!$C$11*SQRT(2*Setup!$C$8)*(0.5/SQRT($E12))*$F12)^2+(SQRT(2*Setup!$C$8*$E12)/Setup!$C$11*Setup!$C$13)^2))</f>
        <v/>
      </c>
      <c r="O12" s="9">
        <f>IF($D12="","",30000*SQRT(2)*PI()*(Setup!$C$18/1000)^6*(Setup!$D$18/1000)*SQRT($E12)/(SQRT(Setup!$C$8)*((Setup!$C$18/1000)^4-(Setup!$D$18/1000)^4)^1.5))</f>
        <v/>
      </c>
      <c r="P12" s="9">
        <f>IF($D12="","",7500*SQRT(2)*PI()*(Setup!$C$18/1000)^2*(Setup!$D$18/1000)^2/(SQRT($E12)*SQRT(Setup!$C$8)*SQRT((Setup!$C$18/1000)^4-(Setup!$D$18/1000)^4)))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(10/10)*Setup!$C$25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IF($D13="","",(PI()*(Setup!$D$18/1000)^2/4)/SQRT(1-(((Setup!$D$18/1000)^2)/((Setup!$C$18/1000)^2))^2)*SQRT(2*$E13/Setup!$C$8)*60000)</f>
        <v/>
      </c>
      <c r="H13" s="9">
        <f>Q13</f>
        <v/>
      </c>
      <c r="I13" s="7" t="n">
        <v>140</v>
      </c>
      <c r="J13" s="8">
        <f>IF($I13="","",SQRT((Setup!$C$33*$I13)^2+(Setup!$C$34*Setup!$C$35)^2+(Setup!$C$36*$I13)^2))</f>
        <v/>
      </c>
      <c r="K13" s="11">
        <f>IF($D13="","",(Setup!$C$18/1000)*SQRT(2*Setup!$C$8*$E13)/Setup!$C$11)</f>
        <v/>
      </c>
      <c r="L13" s="11">
        <f>IF($D13="","",SQRT(((Setup!$C$18/1000)/Setup!$C$11*SQRT(2*Setup!$C$8)*(0.5/SQRT($E13))*$F13)^2+(SQRT(2*Setup!$C$8*$E13)/Setup!$C$11*Setup!$C$13)^2))</f>
        <v/>
      </c>
      <c r="O13" s="9">
        <f>IF($D13="","",30000*SQRT(2)*PI()*(Setup!$C$18/1000)^6*(Setup!$D$18/1000)*SQRT($E13)/(SQRT(Setup!$C$8)*((Setup!$C$18/1000)^4-(Setup!$D$18/1000)^4)^1.5))</f>
        <v/>
      </c>
      <c r="P13" s="9">
        <f>IF($D13="","",7500*SQRT(2)*PI()*(Setup!$C$18/1000)^2*(Setup!$D$18/1000)^2/(SQRT($E13)*SQRT(Setup!$C$8)*SQRT((Setup!$C$18/1000)^4-(Setup!$D$18/1000)^4)))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צינור ונטורי (Venturi)</t>
        </is>
      </c>
      <c r="I17" s="7" t="n">
        <v>31.2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31.7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33.3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35.5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37.9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40.9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44.4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48.5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53.4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58.7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zoomScaleNormal="100" workbookViewId="0">
      <selection activeCell="G21" sqref="G21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דיאפרגמה (Diaphragm)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(1/10)*Setup!$C$26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IF($D4="","",(PI()*(Setup!$D$19/1000)^2/4)/SQRT(1-(((Setup!$D$19/1000)^2)/((Setup!$C$19/1000)^2))^2)*SQRT(2*$E4/Setup!$C$8)*60000)</f>
        <v/>
      </c>
      <c r="H4" s="9">
        <f>Q4</f>
        <v/>
      </c>
      <c r="I4" s="7">
        <f>(1/10)*Setup!$C$26</f>
        <v/>
      </c>
      <c r="J4" s="8">
        <f>IF($I4="","",SQRT((Setup!$C$33*$I4)^2+(Setup!$C$34*Setup!$C$35)^2+(Setup!$C$36*$I4)^2))</f>
        <v/>
      </c>
      <c r="K4" s="11">
        <f>IF($D4="","",(Setup!$C$19/1000)*SQRT(2*Setup!$C$8*$E4)/Setup!$C$11)</f>
        <v/>
      </c>
      <c r="L4" s="11">
        <f>IF($D4="","",SQRT(((Setup!$C$19/1000)/Setup!$C$11*SQRT(2*Setup!$C$8)*(0.5/SQRT($E4))*$F4)^2+(SQRT(2*Setup!$C$8*$E4)/Setup!$C$11*Setup!$C$13)^2))</f>
        <v/>
      </c>
      <c r="O4" s="9">
        <f>IF($D4="","",30000*SQRT(2)*PI()*(Setup!$C$19/1000)^6*(Setup!$D$19/1000)*SQRT($E4)/(SQRT(Setup!$C$8)*((Setup!$C$19/1000)^4-(Setup!$D$19/1000)^4)^1.5))</f>
        <v/>
      </c>
      <c r="P4" s="9">
        <f>IF($D4="","",7500*SQRT(2)*PI()*(Setup!$C$19/1000)^2*(Setup!$D$19/1000)^2/(SQRT($E4)*SQRT(Setup!$C$8)*SQRT((Setup!$C$19/1000)^4-(Setup!$D$19/1000)^4)))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(2/10)*Setup!$C$26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IF($D5="","",(PI()*(Setup!$D$19/1000)^2/4)/SQRT(1-(((Setup!$D$19/1000)^2)/((Setup!$C$19/1000)^2))^2)*SQRT(2*$E5/Setup!$C$8)*60000)</f>
        <v/>
      </c>
      <c r="H5" s="9">
        <f>Q5</f>
        <v/>
      </c>
      <c r="I5" s="7">
        <f>(2/10)*Setup!$C$26</f>
        <v/>
      </c>
      <c r="J5" s="8">
        <f>IF($I5="","",SQRT((Setup!$C$33*$I5)^2+(Setup!$C$34*Setup!$C$35)^2+(Setup!$C$36*$I5)^2))</f>
        <v/>
      </c>
      <c r="K5" s="11">
        <f>IF($D5="","",(Setup!$C$19/1000)*SQRT(2*Setup!$C$8*$E5)/Setup!$C$11)</f>
        <v/>
      </c>
      <c r="L5" s="11">
        <f>IF($D5="","",SQRT(((Setup!$C$19/1000)/Setup!$C$11*SQRT(2*Setup!$C$8)*(0.5/SQRT($E5))*$F5)^2+(SQRT(2*Setup!$C$8*$E5)/Setup!$C$11*Setup!$C$13)^2))</f>
        <v/>
      </c>
      <c r="O5" s="9">
        <f>IF($D5="","",30000*SQRT(2)*PI()*(Setup!$C$19/1000)^6*(Setup!$D$19/1000)*SQRT($E5)/(SQRT(Setup!$C$8)*((Setup!$C$19/1000)^4-(Setup!$D$19/1000)^4)^1.5))</f>
        <v/>
      </c>
      <c r="P5" s="9">
        <f>IF($D5="","",7500*SQRT(2)*PI()*(Setup!$C$19/1000)^2*(Setup!$D$19/1000)^2/(SQRT($E5)*SQRT(Setup!$C$8)*SQRT((Setup!$C$19/1000)^4-(Setup!$D$19/1000)^4)))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(3/10)*Setup!$C$26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IF($D6="","",(PI()*(Setup!$D$19/1000)^2/4)/SQRT(1-(((Setup!$D$19/1000)^2)/((Setup!$C$19/1000)^2))^2)*SQRT(2*$E6/Setup!$C$8)*60000)</f>
        <v/>
      </c>
      <c r="H6" s="9">
        <f>Q6</f>
        <v/>
      </c>
      <c r="I6" s="7">
        <f>(3/10)*Setup!$C$26</f>
        <v/>
      </c>
      <c r="J6" s="8">
        <f>IF($I6="","",SQRT((Setup!$C$33*$I6)^2+(Setup!$C$34*Setup!$C$35)^2+(Setup!$C$36*$I6)^2))</f>
        <v/>
      </c>
      <c r="K6" s="11">
        <f>IF($D6="","",(Setup!$C$19/1000)*SQRT(2*Setup!$C$8*$E6)/Setup!$C$11)</f>
        <v/>
      </c>
      <c r="L6" s="11">
        <f>IF($D6="","",SQRT(((Setup!$C$19/1000)/Setup!$C$11*SQRT(2*Setup!$C$8)*(0.5/SQRT($E6))*$F6)^2+(SQRT(2*Setup!$C$8*$E6)/Setup!$C$11*Setup!$C$13)^2))</f>
        <v/>
      </c>
      <c r="O6" s="9">
        <f>IF($D6="","",30000*SQRT(2)*PI()*(Setup!$C$19/1000)^6*(Setup!$D$19/1000)*SQRT($E6)/(SQRT(Setup!$C$8)*((Setup!$C$19/1000)^4-(Setup!$D$19/1000)^4)^1.5))</f>
        <v/>
      </c>
      <c r="P6" s="9">
        <f>IF($D6="","",7500*SQRT(2)*PI()*(Setup!$C$19/1000)^2*(Setup!$D$19/1000)^2/(SQRT($E6)*SQRT(Setup!$C$8)*SQRT((Setup!$C$19/1000)^4-(Setup!$D$19/1000)^4)))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(4/10)*Setup!$C$26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IF($D7="","",(PI()*(Setup!$D$19/1000)^2/4)/SQRT(1-(((Setup!$D$19/1000)^2)/((Setup!$C$19/1000)^2))^2)*SQRT(2*$E7/Setup!$C$8)*60000)</f>
        <v/>
      </c>
      <c r="H7" s="9">
        <f>Q7</f>
        <v/>
      </c>
      <c r="I7" s="7">
        <f>(4/10)*Setup!$C$26</f>
        <v/>
      </c>
      <c r="J7" s="8">
        <f>IF($I7="","",SQRT((Setup!$C$33*$I7)^2+(Setup!$C$34*Setup!$C$35)^2+(Setup!$C$36*$I7)^2))</f>
        <v/>
      </c>
      <c r="K7" s="11">
        <f>IF($D7="","",(Setup!$C$19/1000)*SQRT(2*Setup!$C$8*$E7)/Setup!$C$11)</f>
        <v/>
      </c>
      <c r="L7" s="11">
        <f>IF($D7="","",SQRT(((Setup!$C$19/1000)/Setup!$C$11*SQRT(2*Setup!$C$8)*(0.5/SQRT($E7))*$F7)^2+(SQRT(2*Setup!$C$8*$E7)/Setup!$C$11*Setup!$C$13)^2))</f>
        <v/>
      </c>
      <c r="O7" s="9">
        <f>IF($D7="","",30000*SQRT(2)*PI()*(Setup!$C$19/1000)^6*(Setup!$D$19/1000)*SQRT($E7)/(SQRT(Setup!$C$8)*((Setup!$C$19/1000)^4-(Setup!$D$19/1000)^4)^1.5))</f>
        <v/>
      </c>
      <c r="P7" s="9">
        <f>IF($D7="","",7500*SQRT(2)*PI()*(Setup!$C$19/1000)^2*(Setup!$D$19/1000)^2/(SQRT($E7)*SQRT(Setup!$C$8)*SQRT((Setup!$C$19/1000)^4-(Setup!$D$19/1000)^4)))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(5/10)*Setup!$C$26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IF($D8="","",(PI()*(Setup!$D$19/1000)^2/4)/SQRT(1-(((Setup!$D$19/1000)^2)/((Setup!$C$19/1000)^2))^2)*SQRT(2*$E8/Setup!$C$8)*60000)</f>
        <v/>
      </c>
      <c r="H8" s="9">
        <f>Q8</f>
        <v/>
      </c>
      <c r="I8" s="7">
        <f>(5/10)*Setup!$C$26</f>
        <v/>
      </c>
      <c r="J8" s="8">
        <f>IF($I8="","",SQRT((Setup!$C$33*$I8)^2+(Setup!$C$34*Setup!$C$35)^2+(Setup!$C$36*$I8)^2))</f>
        <v/>
      </c>
      <c r="K8" s="11">
        <f>IF($D8="","",(Setup!$C$19/1000)*SQRT(2*Setup!$C$8*$E8)/Setup!$C$11)</f>
        <v/>
      </c>
      <c r="L8" s="11">
        <f>IF($D8="","",SQRT(((Setup!$C$19/1000)/Setup!$C$11*SQRT(2*Setup!$C$8)*(0.5/SQRT($E8))*$F8)^2+(SQRT(2*Setup!$C$8*$E8)/Setup!$C$11*Setup!$C$13)^2))</f>
        <v/>
      </c>
      <c r="O8" s="9">
        <f>IF($D8="","",30000*SQRT(2)*PI()*(Setup!$C$19/1000)^6*(Setup!$D$19/1000)*SQRT($E8)/(SQRT(Setup!$C$8)*((Setup!$C$19/1000)^4-(Setup!$D$19/1000)^4)^1.5))</f>
        <v/>
      </c>
      <c r="P8" s="9">
        <f>IF($D8="","",7500*SQRT(2)*PI()*(Setup!$C$19/1000)^2*(Setup!$D$19/1000)^2/(SQRT($E8)*SQRT(Setup!$C$8)*SQRT((Setup!$C$19/1000)^4-(Setup!$D$19/1000)^4)))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(6/10)*Setup!$C$26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IF($D9="","",(PI()*(Setup!$D$19/1000)^2/4)/SQRT(1-(((Setup!$D$19/1000)^2)/((Setup!$C$19/1000)^2))^2)*SQRT(2*$E9/Setup!$C$8)*60000)</f>
        <v/>
      </c>
      <c r="H9" s="9">
        <f>Q9</f>
        <v/>
      </c>
      <c r="I9" s="7">
        <f>(6/10)*Setup!$C$26</f>
        <v/>
      </c>
      <c r="J9" s="8">
        <f>IF($I9="","",SQRT((Setup!$C$33*$I9)^2+(Setup!$C$34*Setup!$C$35)^2+(Setup!$C$36*$I9)^2))</f>
        <v/>
      </c>
      <c r="K9" s="11">
        <f>IF($D9="","",(Setup!$C$19/1000)*SQRT(2*Setup!$C$8*$E9)/Setup!$C$11)</f>
        <v/>
      </c>
      <c r="L9" s="11">
        <f>IF($D9="","",SQRT(((Setup!$C$19/1000)/Setup!$C$11*SQRT(2*Setup!$C$8)*(0.5/SQRT($E9))*$F9)^2+(SQRT(2*Setup!$C$8*$E9)/Setup!$C$11*Setup!$C$13)^2))</f>
        <v/>
      </c>
      <c r="O9" s="9">
        <f>IF($D9="","",30000*SQRT(2)*PI()*(Setup!$C$19/1000)^6*(Setup!$D$19/1000)*SQRT($E9)/(SQRT(Setup!$C$8)*((Setup!$C$19/1000)^4-(Setup!$D$19/1000)^4)^1.5))</f>
        <v/>
      </c>
      <c r="P9" s="9">
        <f>IF($D9="","",7500*SQRT(2)*PI()*(Setup!$C$19/1000)^2*(Setup!$D$19/1000)^2/(SQRT($E9)*SQRT(Setup!$C$8)*SQRT((Setup!$C$19/1000)^4-(Setup!$D$19/1000)^4)))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(7/10)*Setup!$C$26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IF($D10="","",(PI()*(Setup!$D$19/1000)^2/4)/SQRT(1-(((Setup!$D$19/1000)^2)/((Setup!$C$19/1000)^2))^2)*SQRT(2*$E10/Setup!$C$8)*60000)</f>
        <v/>
      </c>
      <c r="H10" s="9">
        <f>Q10</f>
        <v/>
      </c>
      <c r="I10" s="7">
        <f>(7/10)*Setup!$C$26</f>
        <v/>
      </c>
      <c r="J10" s="8">
        <f>IF($I10="","",SQRT((Setup!$C$33*$I10)^2+(Setup!$C$34*Setup!$C$35)^2+(Setup!$C$36*$I10)^2))</f>
        <v/>
      </c>
      <c r="K10" s="11">
        <f>IF($D10="","",(Setup!$C$19/1000)*SQRT(2*Setup!$C$8*$E10)/Setup!$C$11)</f>
        <v/>
      </c>
      <c r="L10" s="11">
        <f>IF($D10="","",SQRT(((Setup!$C$19/1000)/Setup!$C$11*SQRT(2*Setup!$C$8)*(0.5/SQRT($E10))*$F10)^2+(SQRT(2*Setup!$C$8*$E10)/Setup!$C$11*Setup!$C$13)^2))</f>
        <v/>
      </c>
      <c r="O10" s="9">
        <f>IF($D10="","",30000*SQRT(2)*PI()*(Setup!$C$19/1000)^6*(Setup!$D$19/1000)*SQRT($E10)/(SQRT(Setup!$C$8)*((Setup!$C$19/1000)^4-(Setup!$D$19/1000)^4)^1.5))</f>
        <v/>
      </c>
      <c r="P10" s="9">
        <f>IF($D10="","",7500*SQRT(2)*PI()*(Setup!$C$19/1000)^2*(Setup!$D$19/1000)^2/(SQRT($E10)*SQRT(Setup!$C$8)*SQRT((Setup!$C$19/1000)^4-(Setup!$D$19/1000)^4)))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(8/10)*Setup!$C$26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IF($D11="","",(PI()*(Setup!$D$19/1000)^2/4)/SQRT(1-(((Setup!$D$19/1000)^2)/((Setup!$C$19/1000)^2))^2)*SQRT(2*$E11/Setup!$C$8)*60000)</f>
        <v/>
      </c>
      <c r="H11" s="9">
        <f>Q11</f>
        <v/>
      </c>
      <c r="I11" s="7">
        <f>(8/10)*Setup!$C$26</f>
        <v/>
      </c>
      <c r="J11" s="8">
        <f>IF($I11="","",SQRT((Setup!$C$33*$I11)^2+(Setup!$C$34*Setup!$C$35)^2+(Setup!$C$36*$I11)^2))</f>
        <v/>
      </c>
      <c r="K11" s="11">
        <f>IF($D11="","",(Setup!$C$19/1000)*SQRT(2*Setup!$C$8*$E11)/Setup!$C$11)</f>
        <v/>
      </c>
      <c r="L11" s="11">
        <f>IF($D11="","",SQRT(((Setup!$C$19/1000)/Setup!$C$11*SQRT(2*Setup!$C$8)*(0.5/SQRT($E11))*$F11)^2+(SQRT(2*Setup!$C$8*$E11)/Setup!$C$11*Setup!$C$13)^2))</f>
        <v/>
      </c>
      <c r="O11" s="9">
        <f>IF($D11="","",30000*SQRT(2)*PI()*(Setup!$C$19/1000)^6*(Setup!$D$19/1000)*SQRT($E11)/(SQRT(Setup!$C$8)*((Setup!$C$19/1000)^4-(Setup!$D$19/1000)^4)^1.5))</f>
        <v/>
      </c>
      <c r="P11" s="9">
        <f>IF($D11="","",7500*SQRT(2)*PI()*(Setup!$C$19/1000)^2*(Setup!$D$19/1000)^2/(SQRT($E11)*SQRT(Setup!$C$8)*SQRT((Setup!$C$19/1000)^4-(Setup!$D$19/1000)^4)))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(9/10)*Setup!$C$26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IF($D12="","",(PI()*(Setup!$D$19/1000)^2/4)/SQRT(1-(((Setup!$D$19/1000)^2)/((Setup!$C$19/1000)^2))^2)*SQRT(2*$E12/Setup!$C$8)*60000)</f>
        <v/>
      </c>
      <c r="H12" s="9">
        <f>Q12</f>
        <v/>
      </c>
      <c r="I12" s="7">
        <f>(9/10)*Setup!$C$26</f>
        <v/>
      </c>
      <c r="J12" s="8">
        <f>IF($I12="","",SQRT((Setup!$C$33*$I12)^2+(Setup!$C$34*Setup!$C$35)^2+(Setup!$C$36*$I12)^2))</f>
        <v/>
      </c>
      <c r="K12" s="11">
        <f>IF($D12="","",(Setup!$C$19/1000)*SQRT(2*Setup!$C$8*$E12)/Setup!$C$11)</f>
        <v/>
      </c>
      <c r="L12" s="11">
        <f>IF($D12="","",SQRT(((Setup!$C$19/1000)/Setup!$C$11*SQRT(2*Setup!$C$8)*(0.5/SQRT($E12))*$F12)^2+(SQRT(2*Setup!$C$8*$E12)/Setup!$C$11*Setup!$C$13)^2))</f>
        <v/>
      </c>
      <c r="O12" s="9">
        <f>IF($D12="","",30000*SQRT(2)*PI()*(Setup!$C$19/1000)^6*(Setup!$D$19/1000)*SQRT($E12)/(SQRT(Setup!$C$8)*((Setup!$C$19/1000)^4-(Setup!$D$19/1000)^4)^1.5))</f>
        <v/>
      </c>
      <c r="P12" s="9">
        <f>IF($D12="","",7500*SQRT(2)*PI()*(Setup!$C$19/1000)^2*(Setup!$D$19/1000)^2/(SQRT($E12)*SQRT(Setup!$C$8)*SQRT((Setup!$C$19/1000)^4-(Setup!$D$19/1000)^4)))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(10/10)*Setup!$C$26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IF($D13="","",(PI()*(Setup!$D$19/1000)^2/4)/SQRT(1-(((Setup!$D$19/1000)^2)/((Setup!$C$19/1000)^2))^2)*SQRT(2*$E13/Setup!$C$8)*60000)</f>
        <v/>
      </c>
      <c r="H13" s="9">
        <f>Q13</f>
        <v/>
      </c>
      <c r="I13" s="7">
        <f>(10/10)*Setup!$C$26</f>
        <v/>
      </c>
      <c r="J13" s="8">
        <f>IF($I13="","",SQRT((Setup!$C$33*$I13)^2+(Setup!$C$34*Setup!$C$35)^2+(Setup!$C$36*$I13)^2))</f>
        <v/>
      </c>
      <c r="K13" s="11">
        <f>IF($D13="","",(Setup!$C$19/1000)*SQRT(2*Setup!$C$8*$E13)/Setup!$C$11)</f>
        <v/>
      </c>
      <c r="L13" s="11">
        <f>IF($D13="","",SQRT(((Setup!$C$19/1000)/Setup!$C$11*SQRT(2*Setup!$C$8)*(0.5/SQRT($E13))*$F13)^2+(SQRT(2*Setup!$C$8*$E13)/Setup!$C$11*Setup!$C$13)^2))</f>
        <v/>
      </c>
      <c r="O13" s="9">
        <f>IF($D13="","",30000*SQRT(2)*PI()*(Setup!$C$19/1000)^6*(Setup!$D$19/1000)*SQRT($E13)/(SQRT(Setup!$C$8)*((Setup!$C$19/1000)^4-(Setup!$D$19/1000)^4)^1.5))</f>
        <v/>
      </c>
      <c r="P13" s="9">
        <f>IF($D13="","",7500*SQRT(2)*PI()*(Setup!$C$19/1000)^2*(Setup!$D$19/1000)^2/(SQRT($E13)*SQRT(Setup!$C$8)*SQRT((Setup!$C$19/1000)^4-(Setup!$D$19/1000)^4)))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דיאפרגמה (Diaphragm)</t>
        </is>
      </c>
      <c r="I17" s="7" t="n">
        <v>31.1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32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33.3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35.7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39.1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42.5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46.4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50.8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55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60.1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548235"/>
    <outlinePr summaryBelow="1" summaryRight="1"/>
    <pageSetUpPr/>
  </sheetPr>
  <dimension ref="A1:Q28"/>
  <sheetViews>
    <sheetView showGridLines="0" rightToLeft="1" zoomScaleNormal="100" workbookViewId="0">
      <selection activeCell="I4" sqref="I4:I13"/>
    </sheetView>
  </sheetViews>
  <sheetFormatPr baseColWidth="8" defaultColWidth="8.7109375" defaultRowHeight="15"/>
  <cols>
    <col width="3" customWidth="1" min="1" max="1"/>
    <col width="9" customWidth="1" min="2" max="2"/>
    <col width="14" customWidth="1" min="3" max="4"/>
    <col width="13" customWidth="1" min="5" max="13"/>
    <col width="12" customWidth="1" min="15" max="17"/>
  </cols>
  <sheetData>
    <row r="1" ht="18" customHeight="1">
      <c r="A1" s="16" t="inlineStr">
        <is>
          <t>מדיד נחיר (Nozzle) — נתוני מדידה וניתוח</t>
        </is>
      </c>
    </row>
    <row r="3" ht="36" customHeight="1">
      <c r="B3" s="5" t="inlineStr">
        <is>
          <t>נק'</t>
        </is>
      </c>
      <c r="C3" s="5" t="inlineStr">
        <is>
          <t>ספיקת מטרה
(לפי Qmax/10)
[L/min]</t>
        </is>
      </c>
      <c r="D3" s="5" t="inlineStr">
        <is>
          <t>Δh נמדד
[m]</t>
        </is>
      </c>
      <c r="E3" s="5" t="inlineStr">
        <is>
          <t>ΔP
[Pa]</t>
        </is>
      </c>
      <c r="F3" s="5" t="inlineStr">
        <is>
          <t>ΔP_err
[Pa]</t>
        </is>
      </c>
      <c r="G3" s="5" t="inlineStr">
        <is>
          <t>Q_ideal
[L/min]</t>
        </is>
      </c>
      <c r="H3" s="5" t="inlineStr">
        <is>
          <t>Q_ideal_err
[L/min]</t>
        </is>
      </c>
      <c r="I3" s="5" t="inlineStr">
        <is>
          <t>Q_real
[L/min]</t>
        </is>
      </c>
      <c r="J3" s="5" t="inlineStr">
        <is>
          <t>Q_real_err
[L/min]</t>
        </is>
      </c>
      <c r="K3" s="5" t="inlineStr">
        <is>
          <t>Re</t>
        </is>
      </c>
      <c r="L3" s="5" t="inlineStr">
        <is>
          <t>Re_err</t>
        </is>
      </c>
      <c r="O3" s="5" t="inlineStr">
        <is>
          <t>∂Qi/∂Dmin</t>
        </is>
      </c>
      <c r="P3" s="5" t="inlineStr">
        <is>
          <t>∂Qi/∂P</t>
        </is>
      </c>
      <c r="Q3" s="5" t="inlineStr">
        <is>
          <t>Q_ideal_err</t>
        </is>
      </c>
    </row>
    <row r="4">
      <c r="B4" s="6" t="n">
        <v>1</v>
      </c>
      <c r="C4" s="8">
        <f>(1/10)*Setup!$C$27</f>
        <v/>
      </c>
      <c r="D4" s="7">
        <f>((I17-31)*2)/100</f>
        <v/>
      </c>
      <c r="E4" s="9">
        <f>IF($D4="","",Setup!$C$9*Setup!$C$10*$D4)</f>
        <v/>
      </c>
      <c r="F4" s="10">
        <f>IF($D4="","",Setup!$C$9*Setup!$C$10*Setup!$C$12)</f>
        <v/>
      </c>
      <c r="G4" s="9">
        <f>IF($D4="","",(PI()*(Setup!$D$20/1000)^2/4)/SQRT(1-(((Setup!$D$20/1000)^2)/((Setup!$C$20/1000)^2))^2)*SQRT(2*$E4/Setup!$C$8)*60000)</f>
        <v/>
      </c>
      <c r="H4" s="9">
        <f>Q4</f>
        <v/>
      </c>
      <c r="I4" s="7">
        <f>(1/10)*Setup!$C$27</f>
        <v/>
      </c>
      <c r="J4" s="8">
        <f>IF($I4="","",SQRT((Setup!$C$33*$I4)^2+(Setup!$C$34*Setup!$C$35)^2+(Setup!$C$36*$I4)^2))</f>
        <v/>
      </c>
      <c r="K4" s="11">
        <f>IF($D4="","",(Setup!$C$20/1000)*SQRT(2*Setup!$C$8*$E4)/Setup!$C$11)</f>
        <v/>
      </c>
      <c r="L4" s="11">
        <f>IF($D4="","",SQRT(((Setup!$C$20/1000)/Setup!$C$11*SQRT(2*Setup!$C$8)*(0.5/SQRT($E4))*$F4)^2+(SQRT(2*Setup!$C$8*$E4)/Setup!$C$11*Setup!$C$13)^2))</f>
        <v/>
      </c>
      <c r="O4" s="9">
        <f>IF($D4="","",30000*SQRT(2)*PI()*(Setup!$C$20/1000)^6*(Setup!$D$20/1000)*SQRT($E4)/(SQRT(Setup!$C$8)*((Setup!$C$20/1000)^4-(Setup!$D$20/1000)^4)^1.5))</f>
        <v/>
      </c>
      <c r="P4" s="9">
        <f>IF($D4="","",7500*SQRT(2)*PI()*(Setup!$C$20/1000)^2*(Setup!$D$20/1000)^2/(SQRT($E4)*SQRT(Setup!$C$8)*SQRT((Setup!$C$20/1000)^4-(Setup!$D$20/1000)^4)))</f>
        <v/>
      </c>
      <c r="Q4" s="9">
        <f>IF($D4="","",SQRT((O4*Setup!$C$13)^2+(P4*$F4)^2))</f>
        <v/>
      </c>
    </row>
    <row r="5">
      <c r="B5" s="6" t="n">
        <v>2</v>
      </c>
      <c r="C5" s="8">
        <f>(2/10)*Setup!$C$27</f>
        <v/>
      </c>
      <c r="D5" s="7">
        <f>((I18-31)*2)/100</f>
        <v/>
      </c>
      <c r="E5" s="9">
        <f>IF($D5="","",Setup!$C$9*Setup!$C$10*$D5)</f>
        <v/>
      </c>
      <c r="F5" s="10">
        <f>IF($D5="","",Setup!$C$9*Setup!$C$10*Setup!$C$12)</f>
        <v/>
      </c>
      <c r="G5" s="9">
        <f>IF($D5="","",(PI()*(Setup!$D$20/1000)^2/4)/SQRT(1-(((Setup!$D$20/1000)^2)/((Setup!$C$20/1000)^2))^2)*SQRT(2*$E5/Setup!$C$8)*60000)</f>
        <v/>
      </c>
      <c r="H5" s="9">
        <f>Q5</f>
        <v/>
      </c>
      <c r="I5" s="7">
        <f>(2/10)*Setup!$C$27</f>
        <v/>
      </c>
      <c r="J5" s="8">
        <f>IF($I5="","",SQRT((Setup!$C$33*$I5)^2+(Setup!$C$34*Setup!$C$35)^2+(Setup!$C$36*$I5)^2))</f>
        <v/>
      </c>
      <c r="K5" s="11">
        <f>IF($D5="","",(Setup!$C$20/1000)*SQRT(2*Setup!$C$8*$E5)/Setup!$C$11)</f>
        <v/>
      </c>
      <c r="L5" s="11">
        <f>IF($D5="","",SQRT(((Setup!$C$20/1000)/Setup!$C$11*SQRT(2*Setup!$C$8)*(0.5/SQRT($E5))*$F5)^2+(SQRT(2*Setup!$C$8*$E5)/Setup!$C$11*Setup!$C$13)^2))</f>
        <v/>
      </c>
      <c r="O5" s="9">
        <f>IF($D5="","",30000*SQRT(2)*PI()*(Setup!$C$20/1000)^6*(Setup!$D$20/1000)*SQRT($E5)/(SQRT(Setup!$C$8)*((Setup!$C$20/1000)^4-(Setup!$D$20/1000)^4)^1.5))</f>
        <v/>
      </c>
      <c r="P5" s="9">
        <f>IF($D5="","",7500*SQRT(2)*PI()*(Setup!$C$20/1000)^2*(Setup!$D$20/1000)^2/(SQRT($E5)*SQRT(Setup!$C$8)*SQRT((Setup!$C$20/1000)^4-(Setup!$D$20/1000)^4)))</f>
        <v/>
      </c>
      <c r="Q5" s="9">
        <f>IF($D5="","",SQRT((O5*Setup!$C$13)^2+(P5*$F5)^2))</f>
        <v/>
      </c>
    </row>
    <row r="6">
      <c r="B6" s="6" t="n">
        <v>3</v>
      </c>
      <c r="C6" s="8">
        <f>(3/10)*Setup!$C$27</f>
        <v/>
      </c>
      <c r="D6" s="7">
        <f>((I19-31)*2)/100</f>
        <v/>
      </c>
      <c r="E6" s="9">
        <f>IF($D6="","",Setup!$C$9*Setup!$C$10*$D6)</f>
        <v/>
      </c>
      <c r="F6" s="10">
        <f>IF($D6="","",Setup!$C$9*Setup!$C$10*Setup!$C$12)</f>
        <v/>
      </c>
      <c r="G6" s="9">
        <f>IF($D6="","",(PI()*(Setup!$D$20/1000)^2/4)/SQRT(1-(((Setup!$D$20/1000)^2)/((Setup!$C$20/1000)^2))^2)*SQRT(2*$E6/Setup!$C$8)*60000)</f>
        <v/>
      </c>
      <c r="H6" s="9">
        <f>Q6</f>
        <v/>
      </c>
      <c r="I6" s="7">
        <f>(3/10)*Setup!$C$27</f>
        <v/>
      </c>
      <c r="J6" s="8">
        <f>IF($I6="","",SQRT((Setup!$C$33*$I6)^2+(Setup!$C$34*Setup!$C$35)^2+(Setup!$C$36*$I6)^2))</f>
        <v/>
      </c>
      <c r="K6" s="11">
        <f>IF($D6="","",(Setup!$C$20/1000)*SQRT(2*Setup!$C$8*$E6)/Setup!$C$11)</f>
        <v/>
      </c>
      <c r="L6" s="11">
        <f>IF($D6="","",SQRT(((Setup!$C$20/1000)/Setup!$C$11*SQRT(2*Setup!$C$8)*(0.5/SQRT($E6))*$F6)^2+(SQRT(2*Setup!$C$8*$E6)/Setup!$C$11*Setup!$C$13)^2))</f>
        <v/>
      </c>
      <c r="O6" s="9">
        <f>IF($D6="","",30000*SQRT(2)*PI()*(Setup!$C$20/1000)^6*(Setup!$D$20/1000)*SQRT($E6)/(SQRT(Setup!$C$8)*((Setup!$C$20/1000)^4-(Setup!$D$20/1000)^4)^1.5))</f>
        <v/>
      </c>
      <c r="P6" s="9">
        <f>IF($D6="","",7500*SQRT(2)*PI()*(Setup!$C$20/1000)^2*(Setup!$D$20/1000)^2/(SQRT($E6)*SQRT(Setup!$C$8)*SQRT((Setup!$C$20/1000)^4-(Setup!$D$20/1000)^4)))</f>
        <v/>
      </c>
      <c r="Q6" s="9">
        <f>IF($D6="","",SQRT((O6*Setup!$C$13)^2+(P6*$F6)^2))</f>
        <v/>
      </c>
    </row>
    <row r="7">
      <c r="B7" s="6" t="n">
        <v>4</v>
      </c>
      <c r="C7" s="8">
        <f>(4/10)*Setup!$C$27</f>
        <v/>
      </c>
      <c r="D7" s="7">
        <f>((I20-31)*2)/100</f>
        <v/>
      </c>
      <c r="E7" s="9">
        <f>IF($D7="","",Setup!$C$9*Setup!$C$10*$D7)</f>
        <v/>
      </c>
      <c r="F7" s="10">
        <f>IF($D7="","",Setup!$C$9*Setup!$C$10*Setup!$C$12)</f>
        <v/>
      </c>
      <c r="G7" s="9">
        <f>IF($D7="","",(PI()*(Setup!$D$20/1000)^2/4)/SQRT(1-(((Setup!$D$20/1000)^2)/((Setup!$C$20/1000)^2))^2)*SQRT(2*$E7/Setup!$C$8)*60000)</f>
        <v/>
      </c>
      <c r="H7" s="9">
        <f>Q7</f>
        <v/>
      </c>
      <c r="I7" s="7">
        <f>(4/10)*Setup!$C$27</f>
        <v/>
      </c>
      <c r="J7" s="8">
        <f>IF($I7="","",SQRT((Setup!$C$33*$I7)^2+(Setup!$C$34*Setup!$C$35)^2+(Setup!$C$36*$I7)^2))</f>
        <v/>
      </c>
      <c r="K7" s="11">
        <f>IF($D7="","",(Setup!$C$20/1000)*SQRT(2*Setup!$C$8*$E7)/Setup!$C$11)</f>
        <v/>
      </c>
      <c r="L7" s="11">
        <f>IF($D7="","",SQRT(((Setup!$C$20/1000)/Setup!$C$11*SQRT(2*Setup!$C$8)*(0.5/SQRT($E7))*$F7)^2+(SQRT(2*Setup!$C$8*$E7)/Setup!$C$11*Setup!$C$13)^2))</f>
        <v/>
      </c>
      <c r="O7" s="9">
        <f>IF($D7="","",30000*SQRT(2)*PI()*(Setup!$C$20/1000)^6*(Setup!$D$20/1000)*SQRT($E7)/(SQRT(Setup!$C$8)*((Setup!$C$20/1000)^4-(Setup!$D$20/1000)^4)^1.5))</f>
        <v/>
      </c>
      <c r="P7" s="9">
        <f>IF($D7="","",7500*SQRT(2)*PI()*(Setup!$C$20/1000)^2*(Setup!$D$20/1000)^2/(SQRT($E7)*SQRT(Setup!$C$8)*SQRT((Setup!$C$20/1000)^4-(Setup!$D$20/1000)^4)))</f>
        <v/>
      </c>
      <c r="Q7" s="9">
        <f>IF($D7="","",SQRT((O7*Setup!$C$13)^2+(P7*$F7)^2))</f>
        <v/>
      </c>
    </row>
    <row r="8">
      <c r="B8" s="6" t="n">
        <v>5</v>
      </c>
      <c r="C8" s="8">
        <f>(5/10)*Setup!$C$27</f>
        <v/>
      </c>
      <c r="D8" s="7">
        <f>((I21-31)*2)/100</f>
        <v/>
      </c>
      <c r="E8" s="9">
        <f>IF($D8="","",Setup!$C$9*Setup!$C$10*$D8)</f>
        <v/>
      </c>
      <c r="F8" s="10">
        <f>IF($D8="","",Setup!$C$9*Setup!$C$10*Setup!$C$12)</f>
        <v/>
      </c>
      <c r="G8" s="9">
        <f>IF($D8="","",(PI()*(Setup!$D$20/1000)^2/4)/SQRT(1-(((Setup!$D$20/1000)^2)/((Setup!$C$20/1000)^2))^2)*SQRT(2*$E8/Setup!$C$8)*60000)</f>
        <v/>
      </c>
      <c r="H8" s="9">
        <f>Q8</f>
        <v/>
      </c>
      <c r="I8" s="7">
        <f>(5/10)*Setup!$C$27</f>
        <v/>
      </c>
      <c r="J8" s="8">
        <f>IF($I8="","",SQRT((Setup!$C$33*$I8)^2+(Setup!$C$34*Setup!$C$35)^2+(Setup!$C$36*$I8)^2))</f>
        <v/>
      </c>
      <c r="K8" s="11">
        <f>IF($D8="","",(Setup!$C$20/1000)*SQRT(2*Setup!$C$8*$E8)/Setup!$C$11)</f>
        <v/>
      </c>
      <c r="L8" s="11">
        <f>IF($D8="","",SQRT(((Setup!$C$20/1000)/Setup!$C$11*SQRT(2*Setup!$C$8)*(0.5/SQRT($E8))*$F8)^2+(SQRT(2*Setup!$C$8*$E8)/Setup!$C$11*Setup!$C$13)^2))</f>
        <v/>
      </c>
      <c r="O8" s="9">
        <f>IF($D8="","",30000*SQRT(2)*PI()*(Setup!$C$20/1000)^6*(Setup!$D$20/1000)*SQRT($E8)/(SQRT(Setup!$C$8)*((Setup!$C$20/1000)^4-(Setup!$D$20/1000)^4)^1.5))</f>
        <v/>
      </c>
      <c r="P8" s="9">
        <f>IF($D8="","",7500*SQRT(2)*PI()*(Setup!$C$20/1000)^2*(Setup!$D$20/1000)^2/(SQRT($E8)*SQRT(Setup!$C$8)*SQRT((Setup!$C$20/1000)^4-(Setup!$D$20/1000)^4)))</f>
        <v/>
      </c>
      <c r="Q8" s="9">
        <f>IF($D8="","",SQRT((O8*Setup!$C$13)^2+(P8*$F8)^2))</f>
        <v/>
      </c>
    </row>
    <row r="9">
      <c r="B9" s="6" t="n">
        <v>6</v>
      </c>
      <c r="C9" s="8">
        <f>(6/10)*Setup!$C$27</f>
        <v/>
      </c>
      <c r="D9" s="7">
        <f>((I22-31)*2)/100</f>
        <v/>
      </c>
      <c r="E9" s="9">
        <f>IF($D9="","",Setup!$C$9*Setup!$C$10*$D9)</f>
        <v/>
      </c>
      <c r="F9" s="10">
        <f>IF($D9="","",Setup!$C$9*Setup!$C$10*Setup!$C$12)</f>
        <v/>
      </c>
      <c r="G9" s="9">
        <f>IF($D9="","",(PI()*(Setup!$D$20/1000)^2/4)/SQRT(1-(((Setup!$D$20/1000)^2)/((Setup!$C$20/1000)^2))^2)*SQRT(2*$E9/Setup!$C$8)*60000)</f>
        <v/>
      </c>
      <c r="H9" s="9">
        <f>Q9</f>
        <v/>
      </c>
      <c r="I9" s="7">
        <f>(6/10)*Setup!$C$27</f>
        <v/>
      </c>
      <c r="J9" s="8">
        <f>IF($I9="","",SQRT((Setup!$C$33*$I9)^2+(Setup!$C$34*Setup!$C$35)^2+(Setup!$C$36*$I9)^2))</f>
        <v/>
      </c>
      <c r="K9" s="11">
        <f>IF($D9="","",(Setup!$C$20/1000)*SQRT(2*Setup!$C$8*$E9)/Setup!$C$11)</f>
        <v/>
      </c>
      <c r="L9" s="11">
        <f>IF($D9="","",SQRT(((Setup!$C$20/1000)/Setup!$C$11*SQRT(2*Setup!$C$8)*(0.5/SQRT($E9))*$F9)^2+(SQRT(2*Setup!$C$8*$E9)/Setup!$C$11*Setup!$C$13)^2))</f>
        <v/>
      </c>
      <c r="O9" s="9">
        <f>IF($D9="","",30000*SQRT(2)*PI()*(Setup!$C$20/1000)^6*(Setup!$D$20/1000)*SQRT($E9)/(SQRT(Setup!$C$8)*((Setup!$C$20/1000)^4-(Setup!$D$20/1000)^4)^1.5))</f>
        <v/>
      </c>
      <c r="P9" s="9">
        <f>IF($D9="","",7500*SQRT(2)*PI()*(Setup!$C$20/1000)^2*(Setup!$D$20/1000)^2/(SQRT($E9)*SQRT(Setup!$C$8)*SQRT((Setup!$C$20/1000)^4-(Setup!$D$20/1000)^4)))</f>
        <v/>
      </c>
      <c r="Q9" s="9">
        <f>IF($D9="","",SQRT((O9*Setup!$C$13)^2+(P9*$F9)^2))</f>
        <v/>
      </c>
    </row>
    <row r="10">
      <c r="B10" s="6" t="n">
        <v>7</v>
      </c>
      <c r="C10" s="8">
        <f>(7/10)*Setup!$C$27</f>
        <v/>
      </c>
      <c r="D10" s="7">
        <f>((I23-31)*2)/100</f>
        <v/>
      </c>
      <c r="E10" s="9">
        <f>IF($D10="","",Setup!$C$9*Setup!$C$10*$D10)</f>
        <v/>
      </c>
      <c r="F10" s="10">
        <f>IF($D10="","",Setup!$C$9*Setup!$C$10*Setup!$C$12)</f>
        <v/>
      </c>
      <c r="G10" s="9">
        <f>IF($D10="","",(PI()*(Setup!$D$20/1000)^2/4)/SQRT(1-(((Setup!$D$20/1000)^2)/((Setup!$C$20/1000)^2))^2)*SQRT(2*$E10/Setup!$C$8)*60000)</f>
        <v/>
      </c>
      <c r="H10" s="9">
        <f>Q10</f>
        <v/>
      </c>
      <c r="I10" s="7">
        <f>(7/10)*Setup!$C$27</f>
        <v/>
      </c>
      <c r="J10" s="8">
        <f>IF($I10="","",SQRT((Setup!$C$33*$I10)^2+(Setup!$C$34*Setup!$C$35)^2+(Setup!$C$36*$I10)^2))</f>
        <v/>
      </c>
      <c r="K10" s="11">
        <f>IF($D10="","",(Setup!$C$20/1000)*SQRT(2*Setup!$C$8*$E10)/Setup!$C$11)</f>
        <v/>
      </c>
      <c r="L10" s="11">
        <f>IF($D10="","",SQRT(((Setup!$C$20/1000)/Setup!$C$11*SQRT(2*Setup!$C$8)*(0.5/SQRT($E10))*$F10)^2+(SQRT(2*Setup!$C$8*$E10)/Setup!$C$11*Setup!$C$13)^2))</f>
        <v/>
      </c>
      <c r="O10" s="9">
        <f>IF($D10="","",30000*SQRT(2)*PI()*(Setup!$C$20/1000)^6*(Setup!$D$20/1000)*SQRT($E10)/(SQRT(Setup!$C$8)*((Setup!$C$20/1000)^4-(Setup!$D$20/1000)^4)^1.5))</f>
        <v/>
      </c>
      <c r="P10" s="9">
        <f>IF($D10="","",7500*SQRT(2)*PI()*(Setup!$C$20/1000)^2*(Setup!$D$20/1000)^2/(SQRT($E10)*SQRT(Setup!$C$8)*SQRT((Setup!$C$20/1000)^4-(Setup!$D$20/1000)^4)))</f>
        <v/>
      </c>
      <c r="Q10" s="9">
        <f>IF($D10="","",SQRT((O10*Setup!$C$13)^2+(P10*$F10)^2))</f>
        <v/>
      </c>
    </row>
    <row r="11">
      <c r="B11" s="6" t="n">
        <v>8</v>
      </c>
      <c r="C11" s="8">
        <f>(8/10)*Setup!$C$27</f>
        <v/>
      </c>
      <c r="D11" s="7">
        <f>((I24-31)*2)/100</f>
        <v/>
      </c>
      <c r="E11" s="9">
        <f>IF($D11="","",Setup!$C$9*Setup!$C$10*$D11)</f>
        <v/>
      </c>
      <c r="F11" s="10">
        <f>IF($D11="","",Setup!$C$9*Setup!$C$10*Setup!$C$12)</f>
        <v/>
      </c>
      <c r="G11" s="9">
        <f>IF($D11="","",(PI()*(Setup!$D$20/1000)^2/4)/SQRT(1-(((Setup!$D$20/1000)^2)/((Setup!$C$20/1000)^2))^2)*SQRT(2*$E11/Setup!$C$8)*60000)</f>
        <v/>
      </c>
      <c r="H11" s="9">
        <f>Q11</f>
        <v/>
      </c>
      <c r="I11" s="7">
        <f>(8/10)*Setup!$C$27</f>
        <v/>
      </c>
      <c r="J11" s="8">
        <f>IF($I11="","",SQRT((Setup!$C$33*$I11)^2+(Setup!$C$34*Setup!$C$35)^2+(Setup!$C$36*$I11)^2))</f>
        <v/>
      </c>
      <c r="K11" s="11">
        <f>IF($D11="","",(Setup!$C$20/1000)*SQRT(2*Setup!$C$8*$E11)/Setup!$C$11)</f>
        <v/>
      </c>
      <c r="L11" s="11">
        <f>IF($D11="","",SQRT(((Setup!$C$20/1000)/Setup!$C$11*SQRT(2*Setup!$C$8)*(0.5/SQRT($E11))*$F11)^2+(SQRT(2*Setup!$C$8*$E11)/Setup!$C$11*Setup!$C$13)^2))</f>
        <v/>
      </c>
      <c r="O11" s="9">
        <f>IF($D11="","",30000*SQRT(2)*PI()*(Setup!$C$20/1000)^6*(Setup!$D$20/1000)*SQRT($E11)/(SQRT(Setup!$C$8)*((Setup!$C$20/1000)^4-(Setup!$D$20/1000)^4)^1.5))</f>
        <v/>
      </c>
      <c r="P11" s="9">
        <f>IF($D11="","",7500*SQRT(2)*PI()*(Setup!$C$20/1000)^2*(Setup!$D$20/1000)^2/(SQRT($E11)*SQRT(Setup!$C$8)*SQRT((Setup!$C$20/1000)^4-(Setup!$D$20/1000)^4)))</f>
        <v/>
      </c>
      <c r="Q11" s="9">
        <f>IF($D11="","",SQRT((O11*Setup!$C$13)^2+(P11*$F11)^2))</f>
        <v/>
      </c>
    </row>
    <row r="12">
      <c r="B12" s="6" t="n">
        <v>9</v>
      </c>
      <c r="C12" s="8">
        <f>(9/10)*Setup!$C$27</f>
        <v/>
      </c>
      <c r="D12" s="7">
        <f>((I25-31)*2)/100</f>
        <v/>
      </c>
      <c r="E12" s="9">
        <f>IF($D12="","",Setup!$C$9*Setup!$C$10*$D12)</f>
        <v/>
      </c>
      <c r="F12" s="10">
        <f>IF($D12="","",Setup!$C$9*Setup!$C$10*Setup!$C$12)</f>
        <v/>
      </c>
      <c r="G12" s="9">
        <f>IF($D12="","",(PI()*(Setup!$D$20/1000)^2/4)/SQRT(1-(((Setup!$D$20/1000)^2)/((Setup!$C$20/1000)^2))^2)*SQRT(2*$E12/Setup!$C$8)*60000)</f>
        <v/>
      </c>
      <c r="H12" s="9">
        <f>Q12</f>
        <v/>
      </c>
      <c r="I12" s="7">
        <f>(9/10)*Setup!$C$27</f>
        <v/>
      </c>
      <c r="J12" s="8">
        <f>IF($I12="","",SQRT((Setup!$C$33*$I12)^2+(Setup!$C$34*Setup!$C$35)^2+(Setup!$C$36*$I12)^2))</f>
        <v/>
      </c>
      <c r="K12" s="11">
        <f>IF($D12="","",(Setup!$C$20/1000)*SQRT(2*Setup!$C$8*$E12)/Setup!$C$11)</f>
        <v/>
      </c>
      <c r="L12" s="11">
        <f>IF($D12="","",SQRT(((Setup!$C$20/1000)/Setup!$C$11*SQRT(2*Setup!$C$8)*(0.5/SQRT($E12))*$F12)^2+(SQRT(2*Setup!$C$8*$E12)/Setup!$C$11*Setup!$C$13)^2))</f>
        <v/>
      </c>
      <c r="O12" s="9">
        <f>IF($D12="","",30000*SQRT(2)*PI()*(Setup!$C$20/1000)^6*(Setup!$D$20/1000)*SQRT($E12)/(SQRT(Setup!$C$8)*((Setup!$C$20/1000)^4-(Setup!$D$20/1000)^4)^1.5))</f>
        <v/>
      </c>
      <c r="P12" s="9">
        <f>IF($D12="","",7500*SQRT(2)*PI()*(Setup!$C$20/1000)^2*(Setup!$D$20/1000)^2/(SQRT($E12)*SQRT(Setup!$C$8)*SQRT((Setup!$C$20/1000)^4-(Setup!$D$20/1000)^4)))</f>
        <v/>
      </c>
      <c r="Q12" s="9">
        <f>IF($D12="","",SQRT((O12*Setup!$C$13)^2+(P12*$F12)^2))</f>
        <v/>
      </c>
    </row>
    <row r="13">
      <c r="B13" s="6" t="n">
        <v>10</v>
      </c>
      <c r="C13" s="8">
        <f>(10/10)*Setup!$C$27</f>
        <v/>
      </c>
      <c r="D13" s="7">
        <f>((I26-31)*2)/100</f>
        <v/>
      </c>
      <c r="E13" s="9">
        <f>IF($D13="","",Setup!$C$9*Setup!$C$10*$D13)</f>
        <v/>
      </c>
      <c r="F13" s="10">
        <f>IF($D13="","",Setup!$C$9*Setup!$C$10*Setup!$C$12)</f>
        <v/>
      </c>
      <c r="G13" s="9">
        <f>IF($D13="","",(PI()*(Setup!$D$20/1000)^2/4)/SQRT(1-(((Setup!$D$20/1000)^2)/((Setup!$C$20/1000)^2))^2)*SQRT(2*$E13/Setup!$C$8)*60000)</f>
        <v/>
      </c>
      <c r="H13" s="9">
        <f>Q13</f>
        <v/>
      </c>
      <c r="I13" s="7">
        <f>(10/10)*Setup!$C$27</f>
        <v/>
      </c>
      <c r="J13" s="8">
        <f>IF($I13="","",SQRT((Setup!$C$33*$I13)^2+(Setup!$C$34*Setup!$C$35)^2+(Setup!$C$36*$I13)^2))</f>
        <v/>
      </c>
      <c r="K13" s="11">
        <f>IF($D13="","",(Setup!$C$20/1000)*SQRT(2*Setup!$C$8*$E13)/Setup!$C$11)</f>
        <v/>
      </c>
      <c r="L13" s="11">
        <f>IF($D13="","",SQRT(((Setup!$C$20/1000)/Setup!$C$11*SQRT(2*Setup!$C$8)*(0.5/SQRT($E13))*$F13)^2+(SQRT(2*Setup!$C$8*$E13)/Setup!$C$11*Setup!$C$13)^2))</f>
        <v/>
      </c>
      <c r="O13" s="9">
        <f>IF($D13="","",30000*SQRT(2)*PI()*(Setup!$C$20/1000)^6*(Setup!$D$20/1000)*SQRT($E13)/(SQRT(Setup!$C$8)*((Setup!$C$20/1000)^4-(Setup!$D$20/1000)^4)^1.5))</f>
        <v/>
      </c>
      <c r="P13" s="9">
        <f>IF($D13="","",7500*SQRT(2)*PI()*(Setup!$C$20/1000)^2*(Setup!$D$20/1000)^2/(SQRT($E13)*SQRT(Setup!$C$8)*SQRT((Setup!$C$20/1000)^4-(Setup!$D$20/1000)^4)))</f>
        <v/>
      </c>
      <c r="Q13" s="9">
        <f>IF($D13="","",SQRT((O13*Setup!$C$13)^2+(P13*$F13)^2))</f>
        <v/>
      </c>
    </row>
    <row r="15" ht="27.75" customHeight="1">
      <c r="B15" s="18" t="inlineStr">
        <is>
          <t>עמודה C היא יעד מנחה בלבד (חלוקת Qmax מ-Setup ל-10 צעדים שווים, כפי שדורש התדריך). אינה משפיעה על חישוב — יש למלא בעמודה D את Δh שנמדד בפועל. עמודות O–Q הן חישוב ביניים (נגזרות) לשגיאת הספיקה האידיאלית — אין לערוך, ניתן להסתיר.</t>
        </is>
      </c>
    </row>
    <row r="16" ht="24" customHeight="1">
      <c r="I16" s="5" t="inlineStr">
        <is>
          <t>Δh נמדד
[cm]</t>
        </is>
      </c>
    </row>
    <row r="17" ht="18" customHeight="1">
      <c r="A17" s="16" t="inlineStr">
        <is>
          <t>מקדם תיקון C = Q_real / Q_ideal — נחיר (Nozzle)</t>
        </is>
      </c>
      <c r="I17" s="7" t="n">
        <v>31.2</v>
      </c>
    </row>
    <row r="18">
      <c r="B18" s="5" t="inlineStr">
        <is>
          <t>נק'</t>
        </is>
      </c>
      <c r="C18" s="5" t="inlineStr">
        <is>
          <t>C [-]</t>
        </is>
      </c>
      <c r="D18" s="5" t="inlineStr">
        <is>
          <t>Re</t>
        </is>
      </c>
      <c r="I18" s="7" t="n">
        <v>31.9</v>
      </c>
    </row>
    <row r="19">
      <c r="B19" s="6" t="n">
        <v>1</v>
      </c>
      <c r="C19" s="10">
        <f>IF(OR($I4="",$G4="",$G4=0),"",$I4/$G4)</f>
        <v/>
      </c>
      <c r="D19" s="11">
        <f>IF($K4="","",$K4)</f>
        <v/>
      </c>
      <c r="I19" s="7" t="n">
        <v>33.6</v>
      </c>
    </row>
    <row r="20">
      <c r="B20" s="6" t="n">
        <v>2</v>
      </c>
      <c r="C20" s="10">
        <f>IF(OR($I5="",$G5="",$G5=0),"",$I5/$G5)</f>
        <v/>
      </c>
      <c r="D20" s="11">
        <f>IF($K5="","",$K5)</f>
        <v/>
      </c>
      <c r="I20" s="7" t="n">
        <v>36.1</v>
      </c>
    </row>
    <row r="21">
      <c r="B21" s="6" t="n">
        <v>3</v>
      </c>
      <c r="C21" s="10">
        <f>IF(OR($I6="",$G6="",$G6=0),"",$I6/$G6)</f>
        <v/>
      </c>
      <c r="D21" s="11">
        <f>IF($K6="","",$K6)</f>
        <v/>
      </c>
      <c r="I21" s="7" t="n">
        <v>38.7</v>
      </c>
    </row>
    <row r="22">
      <c r="B22" s="6" t="n">
        <v>4</v>
      </c>
      <c r="C22" s="10">
        <f>IF(OR($I7="",$G7="",$G7=0),"",$I7/$G7)</f>
        <v/>
      </c>
      <c r="D22" s="11">
        <f>IF($K7="","",$K7)</f>
        <v/>
      </c>
      <c r="I22" s="7" t="n">
        <v>41.8</v>
      </c>
    </row>
    <row r="23">
      <c r="B23" s="6" t="n">
        <v>5</v>
      </c>
      <c r="C23" s="10">
        <f>IF(OR($I8="",$G8="",$G8=0),"",$I8/$G8)</f>
        <v/>
      </c>
      <c r="D23" s="11">
        <f>IF($K8="","",$K8)</f>
        <v/>
      </c>
      <c r="I23" s="7" t="n">
        <v>45.6</v>
      </c>
    </row>
    <row r="24">
      <c r="B24" s="6" t="n">
        <v>6</v>
      </c>
      <c r="C24" s="10">
        <f>IF(OR($I9="",$G9="",$G9=0),"",$I9/$G9)</f>
        <v/>
      </c>
      <c r="D24" s="11">
        <f>IF($K9="","",$K9)</f>
        <v/>
      </c>
      <c r="I24" s="7" t="n">
        <v>50</v>
      </c>
    </row>
    <row r="25">
      <c r="B25" s="6" t="n">
        <v>7</v>
      </c>
      <c r="C25" s="10">
        <f>IF(OR($I10="",$G10="",$G10=0),"",$I10/$G10)</f>
        <v/>
      </c>
      <c r="D25" s="11">
        <f>IF($K10="","",$K10)</f>
        <v/>
      </c>
      <c r="I25" s="7" t="n">
        <v>54.7</v>
      </c>
    </row>
    <row r="26">
      <c r="B26" s="6" t="n">
        <v>8</v>
      </c>
      <c r="C26" s="10">
        <f>IF(OR($I11="",$G11="",$G11=0),"",$I11/$G11)</f>
        <v/>
      </c>
      <c r="D26" s="11">
        <f>IF($K11="","",$K11)</f>
        <v/>
      </c>
      <c r="I26" s="7" t="n">
        <v>59.8</v>
      </c>
    </row>
    <row r="27">
      <c r="B27" s="6" t="n">
        <v>9</v>
      </c>
      <c r="C27" s="10">
        <f>IF(OR($I12="",$G12="",$G12=0),"",$I12/$G12)</f>
        <v/>
      </c>
      <c r="D27" s="11">
        <f>IF($K12="","",$K12)</f>
        <v/>
      </c>
    </row>
    <row r="28">
      <c r="B28" s="6" t="n">
        <v>10</v>
      </c>
      <c r="C28" s="10">
        <f>IF(OR($I13="",$G13="",$G13=0),"",$I13/$G13)</f>
        <v/>
      </c>
      <c r="D28" s="11">
        <f>IF($K13="","",$K13)</f>
        <v/>
      </c>
    </row>
  </sheetData>
  <mergeCells count="3">
    <mergeCell ref="A17:D17"/>
    <mergeCell ref="A1:L1"/>
    <mergeCell ref="B15:I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/>
  </sheetPr>
  <dimension ref="A1:O26"/>
  <sheetViews>
    <sheetView showGridLines="0" rightToLeft="1" tabSelected="1" topLeftCell="A2" zoomScaleNormal="100" workbookViewId="0">
      <selection activeCell="F30" sqref="F30"/>
    </sheetView>
  </sheetViews>
  <sheetFormatPr baseColWidth="8" defaultColWidth="8.7109375" defaultRowHeight="15"/>
  <cols>
    <col width="3" customWidth="1" min="1" max="1"/>
    <col width="9" customWidth="1" min="2" max="2"/>
    <col width="12" customWidth="1" min="3" max="3"/>
    <col width="11" customWidth="1" min="4" max="5"/>
    <col width="12" customWidth="1" min="6" max="6"/>
    <col width="11" customWidth="1" min="7" max="8"/>
    <col width="12" customWidth="1" min="9" max="9"/>
    <col width="11" customWidth="1" min="10" max="11"/>
    <col width="12" customWidth="1" min="12" max="12"/>
    <col width="11" customWidth="1" min="13" max="15"/>
  </cols>
  <sheetData>
    <row r="1" ht="18" customHeight="1">
      <c r="A1" s="16" t="inlineStr">
        <is>
          <t>מדיד פיטו — כיול מהירות (גרף סעיף ב')</t>
        </is>
      </c>
    </row>
    <row r="3" ht="36" customHeight="1">
      <c r="B3" s="5" t="inlineStr">
        <is>
          <t>נק'</t>
        </is>
      </c>
      <c r="C3" s="5" t="inlineStr">
        <is>
          <t>Δh נמדד
[m]</t>
        </is>
      </c>
      <c r="D3" s="5" t="inlineStr">
        <is>
          <t>ΔP
[Pa]</t>
        </is>
      </c>
      <c r="E3" s="5" t="inlineStr">
        <is>
          <t>√ΔP
[√Pa]</t>
        </is>
      </c>
      <c r="F3" s="5" t="inlineStr">
        <is>
          <t>√ΔP_err
[√Pa]</t>
        </is>
      </c>
      <c r="G3" s="5" t="inlineStr">
        <is>
          <t>u ברנולי
[m/s]</t>
        </is>
      </c>
      <c r="H3" s="5" t="inlineStr">
        <is>
          <t>u_err
[m/s]</t>
        </is>
      </c>
      <c r="I3" s="5" t="inlineStr">
        <is>
          <t>u ממוצע
(קשר 1/7)
[m/s]</t>
        </is>
      </c>
      <c r="J3" s="5" t="inlineStr">
        <is>
          <t>u_err</t>
        </is>
      </c>
      <c r="K3" s="5" t="inlineStr">
        <is>
          <t>Q רוטמטר
[L/min]</t>
        </is>
      </c>
      <c r="L3" s="5" t="inlineStr">
        <is>
          <t>u ממוצע
(רוטמטר)
[m/s]</t>
        </is>
      </c>
      <c r="M3" s="5" t="inlineStr">
        <is>
          <t>u_err</t>
        </is>
      </c>
      <c r="N3" s="5" t="inlineStr">
        <is>
          <t>Re</t>
        </is>
      </c>
      <c r="O3" s="5" t="inlineStr">
        <is>
          <t>Re_err</t>
        </is>
      </c>
    </row>
    <row r="4">
      <c r="B4" s="6" t="n">
        <v>1</v>
      </c>
      <c r="C4" s="7">
        <f>((I17-6.8)*2)/100</f>
        <v/>
      </c>
      <c r="D4" s="9">
        <f>IF($C4="","",Setup!$C$9*Setup!$C$10*$C4)</f>
        <v/>
      </c>
      <c r="E4" s="9">
        <f>IF($D4="","",SQRT($D4))</f>
        <v/>
      </c>
      <c r="F4" s="10">
        <f>IF($C4="","",0.5*SQRT(Setup!$C$9*Setup!$C$10/$C4)*Setup!$C$12)</f>
        <v/>
      </c>
      <c r="G4" s="9">
        <f>IF($D4="","",SQRT(2*$D4/Setup!$C$8))</f>
        <v/>
      </c>
      <c r="H4" s="9">
        <f>IF($F4="","",SQRT(2/Setup!$C$8)*$F4)</f>
        <v/>
      </c>
      <c r="I4" s="9">
        <f>IF($G4="","",(14/15)*$G4)</f>
        <v/>
      </c>
      <c r="J4" s="9">
        <f>IF($H4="","",(14/15)*$H4)</f>
        <v/>
      </c>
      <c r="K4" s="7" t="n">
        <v>22</v>
      </c>
      <c r="L4" s="9">
        <f>IF($K4="","",4*($K4/60000)/(PI()*(Setup!$C$21/1000)^2))</f>
        <v/>
      </c>
      <c r="M4" s="9">
        <f>IF($K4="","",SQRT((4/(PI()*(Setup!$C$21/1000)^2)/60000*SQRT((Setup!$C$33*$K4)^2+(Setup!$C$34*Setup!$C$35)^2+(Setup!$C$36*$K4)^2))^2+(8*($K4/60000)/(PI()*(Setup!$C$21/1000)^3)*Setup!$C$13)^2))</f>
        <v/>
      </c>
      <c r="N4" s="11">
        <f>IF($D4="","",(Setup!$C$21/1000)*SQRT(2*Setup!$C$8*$D4)/Setup!$C$11)</f>
        <v/>
      </c>
      <c r="O4" s="11">
        <f>IF($D4="","",SQRT(((Setup!$C$21/1000)/Setup!$C$11*SQRT(2*Setup!$C$8)*$F4)^2+(SQRT(2*Setup!$C$8*$D4)/Setup!$C$11*Setup!$C$13)^2))</f>
        <v/>
      </c>
    </row>
    <row r="5">
      <c r="B5" s="6" t="n">
        <v>2</v>
      </c>
      <c r="C5" s="7">
        <f>((I18-6.8)*2)/100</f>
        <v/>
      </c>
      <c r="D5" s="9">
        <f>IF($C5="","",Setup!$C$9*Setup!$C$10*$C5)</f>
        <v/>
      </c>
      <c r="E5" s="9">
        <f>IF($D5="","",SQRT($D5))</f>
        <v/>
      </c>
      <c r="F5" s="10">
        <f>IF($C5="","",0.5*SQRT(Setup!$C$9*Setup!$C$10/$C5)*Setup!$C$12)</f>
        <v/>
      </c>
      <c r="G5" s="9">
        <f>IF($D5="","",SQRT(2*$D5/Setup!$C$8))</f>
        <v/>
      </c>
      <c r="H5" s="9">
        <f>IF($F5="","",SQRT(2/Setup!$C$8)*$F5)</f>
        <v/>
      </c>
      <c r="I5" s="9">
        <f>IF($G5="","",(14/15)*$G5)</f>
        <v/>
      </c>
      <c r="J5" s="9">
        <f>IF($H5="","",(14/15)*$H5)</f>
        <v/>
      </c>
      <c r="K5" s="7" t="n">
        <v>44</v>
      </c>
      <c r="L5" s="9">
        <f>IF($K5="","",4*($K5/60000)/(PI()*(Setup!$C$21/1000)^2))</f>
        <v/>
      </c>
      <c r="M5" s="9">
        <f>IF($K5="","",SQRT((4/(PI()*(Setup!$C$21/1000)^2)/60000*SQRT((Setup!$C$33*$K5)^2+(Setup!$C$34*Setup!$C$35)^2+(Setup!$C$36*$K5)^2))^2+(8*($K5/60000)/(PI()*(Setup!$C$21/1000)^3)*Setup!$C$13)^2))</f>
        <v/>
      </c>
      <c r="N5" s="11">
        <f>IF($D5="","",(Setup!$C$21/1000)*SQRT(2*Setup!$C$8*$D5)/Setup!$C$11)</f>
        <v/>
      </c>
      <c r="O5" s="11">
        <f>IF($D5="","",SQRT(((Setup!$C$21/1000)/Setup!$C$11*SQRT(2*Setup!$C$8)*$F5)^2+(SQRT(2*Setup!$C$8*$D5)/Setup!$C$11*Setup!$C$13)^2))</f>
        <v/>
      </c>
    </row>
    <row r="6">
      <c r="B6" s="6" t="n">
        <v>3</v>
      </c>
      <c r="C6" s="7">
        <f>((I19-6.8)*2)/100</f>
        <v/>
      </c>
      <c r="D6" s="9">
        <f>IF($C6="","",Setup!$C$9*Setup!$C$10*$C6)</f>
        <v/>
      </c>
      <c r="E6" s="9">
        <f>IF($D6="","",SQRT($D6))</f>
        <v/>
      </c>
      <c r="F6" s="10">
        <f>IF($C6="","",0.5*SQRT(Setup!$C$9*Setup!$C$10/$C6)*Setup!$C$12)</f>
        <v/>
      </c>
      <c r="G6" s="9">
        <f>IF($D6="","",SQRT(2*$D6/Setup!$C$8))</f>
        <v/>
      </c>
      <c r="H6" s="9">
        <f>IF($F6="","",SQRT(2/Setup!$C$8)*$F6)</f>
        <v/>
      </c>
      <c r="I6" s="9">
        <f>IF($G6="","",(14/15)*$G6)</f>
        <v/>
      </c>
      <c r="J6" s="9">
        <f>IF($H6="","",(14/15)*$H6)</f>
        <v/>
      </c>
      <c r="K6" s="7" t="n">
        <v>66</v>
      </c>
      <c r="L6" s="9">
        <f>IF($K6="","",4*($K6/60000)/(PI()*(Setup!$C$21/1000)^2))</f>
        <v/>
      </c>
      <c r="M6" s="9">
        <f>IF($K6="","",SQRT((4/(PI()*(Setup!$C$21/1000)^2)/60000*SQRT((Setup!$C$33*$K6)^2+(Setup!$C$34*Setup!$C$35)^2+(Setup!$C$36*$K6)^2))^2+(8*($K6/60000)/(PI()*(Setup!$C$21/1000)^3)*Setup!$C$13)^2))</f>
        <v/>
      </c>
      <c r="N6" s="11">
        <f>IF($D6="","",(Setup!$C$21/1000)*SQRT(2*Setup!$C$8*$D6)/Setup!$C$11)</f>
        <v/>
      </c>
      <c r="O6" s="11">
        <f>IF($D6="","",SQRT(((Setup!$C$21/1000)/Setup!$C$11*SQRT(2*Setup!$C$8)*$F6)^2+(SQRT(2*Setup!$C$8*$D6)/Setup!$C$11*Setup!$C$13)^2))</f>
        <v/>
      </c>
    </row>
    <row r="7">
      <c r="B7" s="6" t="n">
        <v>4</v>
      </c>
      <c r="C7" s="7">
        <f>((I20-6.8)*2)/100</f>
        <v/>
      </c>
      <c r="D7" s="9">
        <f>IF($C7="","",Setup!$C$9*Setup!$C$10*$C7)</f>
        <v/>
      </c>
      <c r="E7" s="9">
        <f>IF($D7="","",SQRT($D7))</f>
        <v/>
      </c>
      <c r="F7" s="10">
        <f>IF($C7="","",0.5*SQRT(Setup!$C$9*Setup!$C$10/$C7)*Setup!$C$12)</f>
        <v/>
      </c>
      <c r="G7" s="9">
        <f>IF($D7="","",SQRT(2*$D7/Setup!$C$8))</f>
        <v/>
      </c>
      <c r="H7" s="9">
        <f>IF($F7="","",SQRT(2/Setup!$C$8)*$F7)</f>
        <v/>
      </c>
      <c r="I7" s="9">
        <f>IF($G7="","",(14/15)*$G7)</f>
        <v/>
      </c>
      <c r="J7" s="9">
        <f>IF($H7="","",(14/15)*$H7)</f>
        <v/>
      </c>
      <c r="K7" s="7" t="n">
        <v>88</v>
      </c>
      <c r="L7" s="9">
        <f>IF($K7="","",4*($K7/60000)/(PI()*(Setup!$C$21/1000)^2))</f>
        <v/>
      </c>
      <c r="M7" s="9">
        <f>IF($K7="","",SQRT((4/(PI()*(Setup!$C$21/1000)^2)/60000*SQRT((Setup!$C$33*$K7)^2+(Setup!$C$34*Setup!$C$35)^2+(Setup!$C$36*$K7)^2))^2+(8*($K7/60000)/(PI()*(Setup!$C$21/1000)^3)*Setup!$C$13)^2))</f>
        <v/>
      </c>
      <c r="N7" s="11">
        <f>IF($D7="","",(Setup!$C$21/1000)*SQRT(2*Setup!$C$8*$D7)/Setup!$C$11)</f>
        <v/>
      </c>
      <c r="O7" s="11">
        <f>IF($D7="","",SQRT(((Setup!$C$21/1000)/Setup!$C$11*SQRT(2*Setup!$C$8)*$F7)^2+(SQRT(2*Setup!$C$8*$D7)/Setup!$C$11*Setup!$C$13)^2))</f>
        <v/>
      </c>
    </row>
    <row r="8">
      <c r="B8" s="6" t="n">
        <v>5</v>
      </c>
      <c r="C8" s="7">
        <f>((I21-6.8)*2)/100</f>
        <v/>
      </c>
      <c r="D8" s="9">
        <f>IF($C8="","",Setup!$C$9*Setup!$C$10*$C8)</f>
        <v/>
      </c>
      <c r="E8" s="9">
        <f>IF($D8="","",SQRT($D8))</f>
        <v/>
      </c>
      <c r="F8" s="10">
        <f>IF($C8="","",0.5*SQRT(Setup!$C$9*Setup!$C$10/$C8)*Setup!$C$12)</f>
        <v/>
      </c>
      <c r="G8" s="9">
        <f>IF($D8="","",SQRT(2*$D8/Setup!$C$8))</f>
        <v/>
      </c>
      <c r="H8" s="9">
        <f>IF($F8="","",SQRT(2/Setup!$C$8)*$F8)</f>
        <v/>
      </c>
      <c r="I8" s="9">
        <f>IF($G8="","",(14/15)*$G8)</f>
        <v/>
      </c>
      <c r="J8" s="9">
        <f>IF($H8="","",(14/15)*$H8)</f>
        <v/>
      </c>
      <c r="K8" s="7" t="n">
        <v>110</v>
      </c>
      <c r="L8" s="9">
        <f>IF($K8="","",4*($K8/60000)/(PI()*(Setup!$C$21/1000)^2))</f>
        <v/>
      </c>
      <c r="M8" s="9">
        <f>IF($K8="","",SQRT((4/(PI()*(Setup!$C$21/1000)^2)/60000*SQRT((Setup!$C$33*$K8)^2+(Setup!$C$34*Setup!$C$35)^2+(Setup!$C$36*$K8)^2))^2+(8*($K8/60000)/(PI()*(Setup!$C$21/1000)^3)*Setup!$C$13)^2))</f>
        <v/>
      </c>
      <c r="N8" s="11">
        <f>IF($D8="","",(Setup!$C$21/1000)*SQRT(2*Setup!$C$8*$D8)/Setup!$C$11)</f>
        <v/>
      </c>
      <c r="O8" s="11">
        <f>IF($D8="","",SQRT(((Setup!$C$21/1000)/Setup!$C$11*SQRT(2*Setup!$C$8)*$F8)^2+(SQRT(2*Setup!$C$8*$D8)/Setup!$C$11*Setup!$C$13)^2))</f>
        <v/>
      </c>
    </row>
    <row r="9">
      <c r="B9" s="6" t="n">
        <v>6</v>
      </c>
      <c r="C9" s="7">
        <f>((I22-6.8)*2)/100</f>
        <v/>
      </c>
      <c r="D9" s="9">
        <f>IF($C9="","",Setup!$C$9*Setup!$C$10*$C9)</f>
        <v/>
      </c>
      <c r="E9" s="9">
        <f>IF($D9="","",SQRT($D9))</f>
        <v/>
      </c>
      <c r="F9" s="10">
        <f>IF($C9="","",0.5*SQRT(Setup!$C$9*Setup!$C$10/$C9)*Setup!$C$12)</f>
        <v/>
      </c>
      <c r="G9" s="9">
        <f>IF($D9="","",SQRT(2*$D9/Setup!$C$8))</f>
        <v/>
      </c>
      <c r="H9" s="9">
        <f>IF($F9="","",SQRT(2/Setup!$C$8)*$F9)</f>
        <v/>
      </c>
      <c r="I9" s="9">
        <f>IF($G9="","",(14/15)*$G9)</f>
        <v/>
      </c>
      <c r="J9" s="9">
        <f>IF($H9="","",(14/15)*$H9)</f>
        <v/>
      </c>
      <c r="K9" s="7" t="n">
        <v>132</v>
      </c>
      <c r="L9" s="9">
        <f>IF($K9="","",4*($K9/60000)/(PI()*(Setup!$C$21/1000)^2))</f>
        <v/>
      </c>
      <c r="M9" s="9">
        <f>IF($K9="","",SQRT((4/(PI()*(Setup!$C$21/1000)^2)/60000*SQRT((Setup!$C$33*$K9)^2+(Setup!$C$34*Setup!$C$35)^2+(Setup!$C$36*$K9)^2))^2+(8*($K9/60000)/(PI()*(Setup!$C$21/1000)^3)*Setup!$C$13)^2))</f>
        <v/>
      </c>
      <c r="N9" s="11">
        <f>IF($D9="","",(Setup!$C$21/1000)*SQRT(2*Setup!$C$8*$D9)/Setup!$C$11)</f>
        <v/>
      </c>
      <c r="O9" s="11">
        <f>IF($D9="","",SQRT(((Setup!$C$21/1000)/Setup!$C$11*SQRT(2*Setup!$C$8)*$F9)^2+(SQRT(2*Setup!$C$8*$D9)/Setup!$C$11*Setup!$C$13)^2))</f>
        <v/>
      </c>
    </row>
    <row r="10">
      <c r="B10" s="6" t="n">
        <v>7</v>
      </c>
      <c r="C10" s="7">
        <f>((I23-6.8)*2)/100</f>
        <v/>
      </c>
      <c r="D10" s="9">
        <f>IF($C10="","",Setup!$C$9*Setup!$C$10*$C10)</f>
        <v/>
      </c>
      <c r="E10" s="9">
        <f>IF($D10="","",SQRT($D10))</f>
        <v/>
      </c>
      <c r="F10" s="10">
        <f>IF($C10="","",0.5*SQRT(Setup!$C$9*Setup!$C$10/$C10)*Setup!$C$12)</f>
        <v/>
      </c>
      <c r="G10" s="9">
        <f>IF($D10="","",SQRT(2*$D10/Setup!$C$8))</f>
        <v/>
      </c>
      <c r="H10" s="9">
        <f>IF($F10="","",SQRT(2/Setup!$C$8)*$F10)</f>
        <v/>
      </c>
      <c r="I10" s="9">
        <f>IF($G10="","",(14/15)*$G10)</f>
        <v/>
      </c>
      <c r="J10" s="9">
        <f>IF($H10="","",(14/15)*$H10)</f>
        <v/>
      </c>
      <c r="K10" s="7" t="n">
        <v>154</v>
      </c>
      <c r="L10" s="9">
        <f>IF($K10="","",4*($K10/60000)/(PI()*(Setup!$C$21/1000)^2))</f>
        <v/>
      </c>
      <c r="M10" s="9">
        <f>IF($K10="","",SQRT((4/(PI()*(Setup!$C$21/1000)^2)/60000*SQRT((Setup!$C$33*$K10)^2+(Setup!$C$34*Setup!$C$35)^2+(Setup!$C$36*$K10)^2))^2+(8*($K10/60000)/(PI()*(Setup!$C$21/1000)^3)*Setup!$C$13)^2))</f>
        <v/>
      </c>
      <c r="N10" s="11">
        <f>IF($D10="","",(Setup!$C$21/1000)*SQRT(2*Setup!$C$8*$D10)/Setup!$C$11)</f>
        <v/>
      </c>
      <c r="O10" s="11">
        <f>IF($D10="","",SQRT(((Setup!$C$21/1000)/Setup!$C$11*SQRT(2*Setup!$C$8)*$F10)^2+(SQRT(2*Setup!$C$8*$D10)/Setup!$C$11*Setup!$C$13)^2))</f>
        <v/>
      </c>
    </row>
    <row r="11">
      <c r="B11" s="6" t="n">
        <v>8</v>
      </c>
      <c r="C11" s="7">
        <f>((I24-6.8)*2)/100</f>
        <v/>
      </c>
      <c r="D11" s="9">
        <f>IF($C11="","",Setup!$C$9*Setup!$C$10*$C11)</f>
        <v/>
      </c>
      <c r="E11" s="9">
        <f>IF($D11="","",SQRT($D11))</f>
        <v/>
      </c>
      <c r="F11" s="10">
        <f>IF($C11="","",0.5*SQRT(Setup!$C$9*Setup!$C$10/$C11)*Setup!$C$12)</f>
        <v/>
      </c>
      <c r="G11" s="9">
        <f>IF($D11="","",SQRT(2*$D11/Setup!$C$8))</f>
        <v/>
      </c>
      <c r="H11" s="9">
        <f>IF($F11="","",SQRT(2/Setup!$C$8)*$F11)</f>
        <v/>
      </c>
      <c r="I11" s="9">
        <f>IF($G11="","",(14/15)*$G11)</f>
        <v/>
      </c>
      <c r="J11" s="9">
        <f>IF($H11="","",(14/15)*$H11)</f>
        <v/>
      </c>
      <c r="K11" s="7" t="n">
        <v>176</v>
      </c>
      <c r="L11" s="9">
        <f>IF($K11="","",4*($K11/60000)/(PI()*(Setup!$C$21/1000)^2))</f>
        <v/>
      </c>
      <c r="M11" s="9">
        <f>IF($K11="","",SQRT((4/(PI()*(Setup!$C$21/1000)^2)/60000*SQRT((Setup!$C$33*$K11)^2+(Setup!$C$34*Setup!$C$35)^2+(Setup!$C$36*$K11)^2))^2+(8*($K11/60000)/(PI()*(Setup!$C$21/1000)^3)*Setup!$C$13)^2))</f>
        <v/>
      </c>
      <c r="N11" s="11">
        <f>IF($D11="","",(Setup!$C$21/1000)*SQRT(2*Setup!$C$8*$D11)/Setup!$C$11)</f>
        <v/>
      </c>
      <c r="O11" s="11">
        <f>IF($D11="","",SQRT(((Setup!$C$21/1000)/Setup!$C$11*SQRT(2*Setup!$C$8)*$F11)^2+(SQRT(2*Setup!$C$8*$D11)/Setup!$C$11*Setup!$C$13)^2))</f>
        <v/>
      </c>
    </row>
    <row r="12">
      <c r="B12" s="6" t="n">
        <v>9</v>
      </c>
      <c r="C12" s="7">
        <f>((I25-6.8)*2)/100</f>
        <v/>
      </c>
      <c r="D12" s="9">
        <f>IF($C12="","",Setup!$C$9*Setup!$C$10*$C12)</f>
        <v/>
      </c>
      <c r="E12" s="9">
        <f>IF($D12="","",SQRT($D12))</f>
        <v/>
      </c>
      <c r="F12" s="10">
        <f>IF($C12="","",0.5*SQRT(Setup!$C$9*Setup!$C$10/$C12)*Setup!$C$12)</f>
        <v/>
      </c>
      <c r="G12" s="9">
        <f>IF($D12="","",SQRT(2*$D12/Setup!$C$8))</f>
        <v/>
      </c>
      <c r="H12" s="9">
        <f>IF($F12="","",SQRT(2/Setup!$C$8)*$F12)</f>
        <v/>
      </c>
      <c r="I12" s="9">
        <f>IF($G12="","",(14/15)*$G12)</f>
        <v/>
      </c>
      <c r="J12" s="9">
        <f>IF($H12="","",(14/15)*$H12)</f>
        <v/>
      </c>
      <c r="K12" s="7" t="n">
        <v>198</v>
      </c>
      <c r="L12" s="9">
        <f>IF($K12="","",4*($K12/60000)/(PI()*(Setup!$C$21/1000)^2))</f>
        <v/>
      </c>
      <c r="M12" s="9">
        <f>IF($K12="","",SQRT((4/(PI()*(Setup!$C$21/1000)^2)/60000*SQRT((Setup!$C$33*$K12)^2+(Setup!$C$34*Setup!$C$35)^2+(Setup!$C$36*$K12)^2))^2+(8*($K12/60000)/(PI()*(Setup!$C$21/1000)^3)*Setup!$C$13)^2))</f>
        <v/>
      </c>
      <c r="N12" s="11">
        <f>IF($D12="","",(Setup!$C$21/1000)*SQRT(2*Setup!$C$8*$D12)/Setup!$C$11)</f>
        <v/>
      </c>
      <c r="O12" s="11">
        <f>IF($D12="","",SQRT(((Setup!$C$21/1000)/Setup!$C$11*SQRT(2*Setup!$C$8)*$F12)^2+(SQRT(2*Setup!$C$8*$D12)/Setup!$C$11*Setup!$C$13)^2))</f>
        <v/>
      </c>
    </row>
    <row r="13">
      <c r="B13" s="6" t="n">
        <v>10</v>
      </c>
      <c r="C13" s="7">
        <f>((I26-6.8)*2)/100</f>
        <v/>
      </c>
      <c r="D13" s="9">
        <f>IF($C13="","",Setup!$C$9*Setup!$C$10*$C13)</f>
        <v/>
      </c>
      <c r="E13" s="9">
        <f>IF($D13="","",SQRT($D13))</f>
        <v/>
      </c>
      <c r="F13" s="10">
        <f>IF($C13="","",0.5*SQRT(Setup!$C$9*Setup!$C$10/$C13)*Setup!$C$12)</f>
        <v/>
      </c>
      <c r="G13" s="9">
        <f>IF($D13="","",SQRT(2*$D13/Setup!$C$8))</f>
        <v/>
      </c>
      <c r="H13" s="9">
        <f>IF($F13="","",SQRT(2/Setup!$C$8)*$F13)</f>
        <v/>
      </c>
      <c r="I13" s="9">
        <f>IF($G13="","",(14/15)*$G13)</f>
        <v/>
      </c>
      <c r="J13" s="9">
        <f>IF($H13="","",(14/15)*$H13)</f>
        <v/>
      </c>
      <c r="K13" s="7" t="n">
        <v>220</v>
      </c>
      <c r="L13" s="9">
        <f>IF($K13="","",4*($K13/60000)/(PI()*(Setup!$C$21/1000)^2))</f>
        <v/>
      </c>
      <c r="M13" s="9">
        <f>IF($K13="","",SQRT((4/(PI()*(Setup!$C$21/1000)^2)/60000*SQRT((Setup!$C$33*$K13)^2+(Setup!$C$34*Setup!$C$35)^2+(Setup!$C$36*$K13)^2))^2+(8*($K13/60000)/(PI()*(Setup!$C$21/1000)^3)*Setup!$C$13)^2))</f>
        <v/>
      </c>
      <c r="N13" s="11">
        <f>IF($D13="","",(Setup!$C$21/1000)*SQRT(2*Setup!$C$8*$D13)/Setup!$C$11)</f>
        <v/>
      </c>
      <c r="O13" s="11">
        <f>IF($D13="","",SQRT(((Setup!$C$21/1000)/Setup!$C$11*SQRT(2*Setup!$C$8)*$F13)^2+(SQRT(2*Setup!$C$8*$D13)/Setup!$C$11*Setup!$C$13)^2))</f>
        <v/>
      </c>
    </row>
    <row r="15" ht="25.5" customHeight="1">
      <c r="B15" s="18" t="inlineStr">
        <is>
          <t>עמודה K: יש להזין את הספיקה הנמדדת מהרוטמטר [L/min] לאותה נקודה — מהירות הרוטמטר (L) ושגיאתה (M) מחושבות אוטומטית.</t>
        </is>
      </c>
    </row>
    <row r="16" ht="24" customHeight="1">
      <c r="I16" s="5" t="inlineStr">
        <is>
          <t>Δh נמדד
[cm]</t>
        </is>
      </c>
    </row>
    <row r="17">
      <c r="H17" t="n">
        <v>22</v>
      </c>
      <c r="I17" s="7" t="n">
        <v>6.9</v>
      </c>
    </row>
    <row r="18">
      <c r="H18" t="n">
        <v>44</v>
      </c>
      <c r="I18" s="7" t="n">
        <v>7</v>
      </c>
    </row>
    <row r="19">
      <c r="H19" t="n">
        <v>66</v>
      </c>
      <c r="I19" s="7" t="n">
        <v>7.4</v>
      </c>
    </row>
    <row r="20">
      <c r="H20" t="n">
        <v>88</v>
      </c>
      <c r="I20" s="7" t="n">
        <v>7.8</v>
      </c>
    </row>
    <row r="21">
      <c r="H21" t="n">
        <v>110</v>
      </c>
      <c r="I21" s="7" t="n">
        <v>8.4</v>
      </c>
    </row>
    <row r="22">
      <c r="H22" t="n">
        <v>132</v>
      </c>
      <c r="I22" s="7" t="n">
        <v>9.1</v>
      </c>
    </row>
    <row r="23">
      <c r="H23" t="n">
        <v>154</v>
      </c>
      <c r="I23" s="7" t="n">
        <v>9.800000000000001</v>
      </c>
    </row>
    <row r="24">
      <c r="H24" t="n">
        <v>176</v>
      </c>
      <c r="I24" s="7" t="n">
        <v>10.7</v>
      </c>
    </row>
    <row r="25">
      <c r="H25" t="n">
        <v>198</v>
      </c>
      <c r="I25" s="7" t="n">
        <v>11.7</v>
      </c>
    </row>
    <row r="26">
      <c r="H26" t="n">
        <v>220</v>
      </c>
      <c r="I26" s="7" t="n">
        <v>12.6</v>
      </c>
    </row>
  </sheetData>
  <mergeCells count="2">
    <mergeCell ref="B15:L15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J13"/>
  <sheetViews>
    <sheetView showGridLines="0" rightToLeft="1" zoomScaleNormal="100" workbookViewId="0">
      <selection activeCell="A1" sqref="A1:I1"/>
    </sheetView>
  </sheetViews>
  <sheetFormatPr baseColWidth="8" defaultColWidth="8.7109375" defaultRowHeight="15"/>
  <cols>
    <col width="3" customWidth="1" min="1" max="1"/>
    <col width="9" customWidth="1" min="2" max="2"/>
    <col width="13" customWidth="1" min="3" max="4"/>
    <col width="9" customWidth="1" min="5" max="5"/>
    <col width="13" customWidth="1" min="6" max="7"/>
    <col width="9" customWidth="1" min="8" max="8"/>
    <col width="13" customWidth="1" min="9" max="10"/>
  </cols>
  <sheetData>
    <row r="1" ht="18" customHeight="1">
      <c r="A1" s="16" t="inlineStr">
        <is>
          <t>ספיקה אמיתית מול אידאלית — שלושת המדידים (לגרף סעיף 4.ד, מקדם C = שיפוע)</t>
        </is>
      </c>
    </row>
    <row r="3" ht="24" customHeight="1">
      <c r="B3" s="5" t="inlineStr">
        <is>
          <t>נק'</t>
        </is>
      </c>
      <c r="C3" s="5" t="inlineStr">
        <is>
          <t>Qideal ונטורי</t>
        </is>
      </c>
      <c r="D3" s="5" t="inlineStr">
        <is>
          <t>Qreal ונטורי</t>
        </is>
      </c>
      <c r="E3" s="5" t="inlineStr">
        <is>
          <t>נק'</t>
        </is>
      </c>
      <c r="F3" s="5" t="inlineStr">
        <is>
          <t>Qideal דיאפרגמה</t>
        </is>
      </c>
      <c r="G3" s="5" t="inlineStr">
        <is>
          <t>Qreal דיאפרגמה</t>
        </is>
      </c>
      <c r="H3" s="5" t="inlineStr">
        <is>
          <t>נק'</t>
        </is>
      </c>
      <c r="I3" s="5" t="inlineStr">
        <is>
          <t>Qideal נחיר</t>
        </is>
      </c>
      <c r="J3" s="5" t="inlineStr">
        <is>
          <t>Qreal נחיר</t>
        </is>
      </c>
    </row>
    <row r="4">
      <c r="B4" s="6" t="n">
        <v>1</v>
      </c>
      <c r="C4" s="9">
        <f>IF(Venturi!$G4="","",Venturi!$G4)</f>
        <v/>
      </c>
      <c r="D4" s="9">
        <f>IF(Venturi!$I4="","",Venturi!$I4)</f>
        <v/>
      </c>
      <c r="E4" s="6" t="n">
        <v>1</v>
      </c>
      <c r="F4" s="9">
        <f>IF(Diaphragm!$G4="","",Diaphragm!$G4)</f>
        <v/>
      </c>
      <c r="G4" s="9">
        <f>IF(Diaphragm!$I4="","",Diaphragm!$I4)</f>
        <v/>
      </c>
      <c r="H4" s="6" t="n">
        <v>1</v>
      </c>
      <c r="I4" s="9">
        <f>IF(Nozzle!$G4="","",Nozzle!$G4)</f>
        <v/>
      </c>
      <c r="J4" s="9">
        <f>IF(Nozzle!$I4="","",Nozzle!$I4)</f>
        <v/>
      </c>
    </row>
    <row r="5">
      <c r="B5" s="6" t="n">
        <v>2</v>
      </c>
      <c r="C5" s="9">
        <f>IF(Venturi!$G5="","",Venturi!$G5)</f>
        <v/>
      </c>
      <c r="D5" s="9">
        <f>IF(Venturi!$I5="","",Venturi!$I5)</f>
        <v/>
      </c>
      <c r="E5" s="6" t="n">
        <v>2</v>
      </c>
      <c r="F5" s="9">
        <f>IF(Diaphragm!$G5="","",Diaphragm!$G5)</f>
        <v/>
      </c>
      <c r="G5" s="9">
        <f>IF(Diaphragm!$I5="","",Diaphragm!$I5)</f>
        <v/>
      </c>
      <c r="H5" s="6" t="n">
        <v>2</v>
      </c>
      <c r="I5" s="9">
        <f>IF(Nozzle!$G5="","",Nozzle!$G5)</f>
        <v/>
      </c>
      <c r="J5" s="9">
        <f>IF(Nozzle!$I5="","",Nozzle!$I5)</f>
        <v/>
      </c>
    </row>
    <row r="6">
      <c r="B6" s="6" t="n">
        <v>3</v>
      </c>
      <c r="C6" s="9">
        <f>IF(Venturi!$G6="","",Venturi!$G6)</f>
        <v/>
      </c>
      <c r="D6" s="9">
        <f>IF(Venturi!$I6="","",Venturi!$I6)</f>
        <v/>
      </c>
      <c r="E6" s="6" t="n">
        <v>3</v>
      </c>
      <c r="F6" s="9">
        <f>IF(Diaphragm!$G6="","",Diaphragm!$G6)</f>
        <v/>
      </c>
      <c r="G6" s="9">
        <f>IF(Diaphragm!$I6="","",Diaphragm!$I6)</f>
        <v/>
      </c>
      <c r="H6" s="6" t="n">
        <v>3</v>
      </c>
      <c r="I6" s="9">
        <f>IF(Nozzle!$G6="","",Nozzle!$G6)</f>
        <v/>
      </c>
      <c r="J6" s="9">
        <f>IF(Nozzle!$I6="","",Nozzle!$I6)</f>
        <v/>
      </c>
    </row>
    <row r="7">
      <c r="B7" s="6" t="n">
        <v>4</v>
      </c>
      <c r="C7" s="9">
        <f>IF(Venturi!$G7="","",Venturi!$G7)</f>
        <v/>
      </c>
      <c r="D7" s="9">
        <f>IF(Venturi!$I7="","",Venturi!$I7)</f>
        <v/>
      </c>
      <c r="E7" s="6" t="n">
        <v>4</v>
      </c>
      <c r="F7" s="9">
        <f>IF(Diaphragm!$G7="","",Diaphragm!$G7)</f>
        <v/>
      </c>
      <c r="G7" s="9">
        <f>IF(Diaphragm!$I7="","",Diaphragm!$I7)</f>
        <v/>
      </c>
      <c r="H7" s="6" t="n">
        <v>4</v>
      </c>
      <c r="I7" s="9">
        <f>IF(Nozzle!$G7="","",Nozzle!$G7)</f>
        <v/>
      </c>
      <c r="J7" s="9">
        <f>IF(Nozzle!$I7="","",Nozzle!$I7)</f>
        <v/>
      </c>
    </row>
    <row r="8">
      <c r="B8" s="6" t="n">
        <v>5</v>
      </c>
      <c r="C8" s="9">
        <f>IF(Venturi!$G8="","",Venturi!$G8)</f>
        <v/>
      </c>
      <c r="D8" s="9">
        <f>IF(Venturi!$I8="","",Venturi!$I8)</f>
        <v/>
      </c>
      <c r="E8" s="6" t="n">
        <v>5</v>
      </c>
      <c r="F8" s="9">
        <f>IF(Diaphragm!$G8="","",Diaphragm!$G8)</f>
        <v/>
      </c>
      <c r="G8" s="9">
        <f>IF(Diaphragm!$I8="","",Diaphragm!$I8)</f>
        <v/>
      </c>
      <c r="H8" s="6" t="n">
        <v>5</v>
      </c>
      <c r="I8" s="9">
        <f>IF(Nozzle!$G8="","",Nozzle!$G8)</f>
        <v/>
      </c>
      <c r="J8" s="9">
        <f>IF(Nozzle!$I8="","",Nozzle!$I8)</f>
        <v/>
      </c>
    </row>
    <row r="9">
      <c r="B9" s="6" t="n">
        <v>6</v>
      </c>
      <c r="C9" s="9">
        <f>IF(Venturi!$G9="","",Venturi!$G9)</f>
        <v/>
      </c>
      <c r="D9" s="9">
        <f>IF(Venturi!$I9="","",Venturi!$I9)</f>
        <v/>
      </c>
      <c r="E9" s="6" t="n">
        <v>6</v>
      </c>
      <c r="F9" s="9">
        <f>IF(Diaphragm!$G9="","",Diaphragm!$G9)</f>
        <v/>
      </c>
      <c r="G9" s="9">
        <f>IF(Diaphragm!$I9="","",Diaphragm!$I9)</f>
        <v/>
      </c>
      <c r="H9" s="6" t="n">
        <v>6</v>
      </c>
      <c r="I9" s="9">
        <f>IF(Nozzle!$G9="","",Nozzle!$G9)</f>
        <v/>
      </c>
      <c r="J9" s="9">
        <f>IF(Nozzle!$I9="","",Nozzle!$I9)</f>
        <v/>
      </c>
    </row>
    <row r="10">
      <c r="B10" s="6" t="n">
        <v>7</v>
      </c>
      <c r="C10" s="9">
        <f>IF(Venturi!$G10="","",Venturi!$G10)</f>
        <v/>
      </c>
      <c r="D10" s="9">
        <f>IF(Venturi!$I10="","",Venturi!$I10)</f>
        <v/>
      </c>
      <c r="E10" s="6" t="n">
        <v>7</v>
      </c>
      <c r="F10" s="9">
        <f>IF(Diaphragm!$G10="","",Diaphragm!$G10)</f>
        <v/>
      </c>
      <c r="G10" s="9">
        <f>IF(Diaphragm!$I10="","",Diaphragm!$I10)</f>
        <v/>
      </c>
      <c r="H10" s="6" t="n">
        <v>7</v>
      </c>
      <c r="I10" s="9">
        <f>IF(Nozzle!$G10="","",Nozzle!$G10)</f>
        <v/>
      </c>
      <c r="J10" s="9">
        <f>IF(Nozzle!$I10="","",Nozzle!$I10)</f>
        <v/>
      </c>
    </row>
    <row r="11">
      <c r="B11" s="6" t="n">
        <v>8</v>
      </c>
      <c r="C11" s="9">
        <f>IF(Venturi!$G11="","",Venturi!$G11)</f>
        <v/>
      </c>
      <c r="D11" s="9">
        <f>IF(Venturi!$I11="","",Venturi!$I11)</f>
        <v/>
      </c>
      <c r="E11" s="6" t="n">
        <v>8</v>
      </c>
      <c r="F11" s="9">
        <f>IF(Diaphragm!$G11="","",Diaphragm!$G11)</f>
        <v/>
      </c>
      <c r="G11" s="9">
        <f>IF(Diaphragm!$I11="","",Diaphragm!$I11)</f>
        <v/>
      </c>
      <c r="H11" s="6" t="n">
        <v>8</v>
      </c>
      <c r="I11" s="9">
        <f>IF(Nozzle!$G11="","",Nozzle!$G11)</f>
        <v/>
      </c>
      <c r="J11" s="9">
        <f>IF(Nozzle!$I11="","",Nozzle!$I11)</f>
        <v/>
      </c>
    </row>
    <row r="12">
      <c r="B12" s="6" t="n">
        <v>9</v>
      </c>
      <c r="C12" s="9">
        <f>IF(Venturi!$G12="","",Venturi!$G12)</f>
        <v/>
      </c>
      <c r="D12" s="9">
        <f>IF(Venturi!$I12="","",Venturi!$I12)</f>
        <v/>
      </c>
      <c r="E12" s="6" t="n">
        <v>9</v>
      </c>
      <c r="F12" s="9">
        <f>IF(Diaphragm!$G12="","",Diaphragm!$G12)</f>
        <v/>
      </c>
      <c r="G12" s="9">
        <f>IF(Diaphragm!$I12="","",Diaphragm!$I12)</f>
        <v/>
      </c>
      <c r="H12" s="6" t="n">
        <v>9</v>
      </c>
      <c r="I12" s="9">
        <f>IF(Nozzle!$G12="","",Nozzle!$G12)</f>
        <v/>
      </c>
      <c r="J12" s="9">
        <f>IF(Nozzle!$I12="","",Nozzle!$I12)</f>
        <v/>
      </c>
    </row>
    <row r="13">
      <c r="B13" s="6" t="n">
        <v>10</v>
      </c>
      <c r="C13" s="9">
        <f>IF(Venturi!$G13="","",Venturi!$G13)</f>
        <v/>
      </c>
      <c r="D13" s="9">
        <f>IF(Venturi!$I13="","",Venturi!$I13)</f>
        <v/>
      </c>
      <c r="E13" s="6" t="n">
        <v>10</v>
      </c>
      <c r="F13" s="9">
        <f>IF(Diaphragm!$G13="","",Diaphragm!$G13)</f>
        <v/>
      </c>
      <c r="G13" s="9">
        <f>IF(Diaphragm!$I13="","",Diaphragm!$I13)</f>
        <v/>
      </c>
      <c r="H13" s="6" t="n">
        <v>10</v>
      </c>
      <c r="I13" s="9">
        <f>IF(Nozzle!$G13="","",Nozzle!$G13)</f>
        <v/>
      </c>
      <c r="J13" s="9">
        <f>IF(Nozzle!$I13="","",Nozzle!$I13)</f>
        <v/>
      </c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2026-06-21T07:52:17Z</dcterms:created>
  <dcterms:modified xsi:type="dcterms:W3CDTF">2026-06-22T18:49:11Z</dcterms:modified>
  <cp:lastModifiedBy>עמרי ליכטר</cp:lastModifiedBy>
  <cp:revision>0</cp:revision>
</cp:coreProperties>
</file>